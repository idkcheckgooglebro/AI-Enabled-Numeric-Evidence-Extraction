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3.0 Pooled results" sheetId="2" state="visible" r:id="rId4"/>
    <sheet name="S3.1 Per-article counts" sheetId="3" state="visible" r:id="rId5"/>
    <sheet name="S3.2 Test articles" sheetId="4" state="visible" r:id="rId6"/>
    <sheet name="S3.3 Tool versions" sheetId="5" state="visible" r:id="rId7"/>
    <sheet name="S3.4 Assessment notes" sheetId="6" state="visible" r:id="rId8"/>
  </sheets>
  <definedNames>
    <definedName function="false" hidden="true" localSheetId="5" name="_xlnm._FilterDatabase" vbProcedure="false">'S3.4 Assessment notes'!$A$3:$F$309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5" authorId="0">
      <text>
        <r>
          <rPr>
            <sz val="10"/>
            <rFont val="Arial"/>
            <family val="2"/>
          </rPr>
          <t xml:space="preserve">From each tool's documentation/repository; verify against the version you ran.</t>
        </r>
      </text>
    </comment>
    <comment ref="C16" authorId="0">
      <text>
        <r>
          <rPr>
            <sz val="10"/>
            <rFont val="Arial"/>
            <family val="2"/>
          </rPr>
          <t xml:space="preserve">From each tool's documentation/repository; verify against the version you ran.</t>
        </r>
      </text>
    </comment>
    <comment ref="C17" authorId="0">
      <text>
        <r>
          <rPr>
            <sz val="10"/>
            <rFont val="Arial"/>
            <family val="2"/>
          </rPr>
          <t xml:space="preserve">From each tool's documentation/repository; verify against the version you ran.</t>
        </r>
      </text>
    </comment>
  </commentList>
</comments>
</file>

<file path=xl/sharedStrings.xml><?xml version="1.0" encoding="utf-8"?>
<sst xmlns="http://schemas.openxmlformats.org/spreadsheetml/2006/main" count="1947" uniqueCount="582">
  <si>
    <t xml:space="preserve">Supplementary Material S3. Empirical evaluation of five extraction tools on five marine and coastal research articles</t>
  </si>
  <si>
    <t xml:space="preserve">Contents</t>
  </si>
  <si>
    <t xml:space="preserve">S3.0 Pooled results – Table 6 of the main text, calculated by formula from S3.1.</t>
  </si>
  <si>
    <t xml:space="preserve">S3.1 Per-article counts – correct/assessed items for every measure, article and tool, with harmonisation notes.</t>
  </si>
  <si>
    <t xml:space="preserve">S3.2 Test articles – the five articles, their document type, numbers of tables and figures, and why each was included.</t>
  </si>
  <si>
    <t xml:space="preserve">S3.3 Tool versions – version, run mode, settings, hardware, licence and repository for each tool.</t>
  </si>
  <si>
    <t xml:space="preserve">S3.4 Assessment notes – original per-article scoring notes recorded during manual assessment.</t>
  </si>
  <si>
    <t xml:space="preserve">Conventions</t>
  </si>
  <si>
    <t xml:space="preserve">NS = not supported by tool design; n.s. = not scored; blank = not scored or not run.</t>
  </si>
  <si>
    <t xml:space="preserve">Denominators include every item in the source article, so items missing from an output count as failures.</t>
  </si>
  <si>
    <t xml:space="preserve">Blue numbers in S3.1 are manual assessment counts; black cells are formulas; yellow cells in S3.3 are still to be completed.</t>
  </si>
  <si>
    <t xml:space="preserve">Before submission: complete S3.3 and delete this line.</t>
  </si>
  <si>
    <t xml:space="preserve">Table S3.0 (= Table 6 in the main text). Performance of five full-document and table-extraction tools on five marine and coastal research articles (pooled counts across articles; correct / assessed, %).</t>
  </si>
  <si>
    <t xml:space="preserve">Block</t>
  </si>
  <si>
    <t xml:space="preserve">Measure</t>
  </si>
  <si>
    <t xml:space="preserve">Operational definition</t>
  </si>
  <si>
    <t xml:space="preserve">Docling</t>
  </si>
  <si>
    <t xml:space="preserve">Nougat</t>
  </si>
  <si>
    <t xml:space="preserve">PP-StructureV2</t>
  </si>
  <si>
    <t xml:space="preserve">olmOCR 2</t>
  </si>
  <si>
    <t xml:space="preserve">Tabula</t>
  </si>
  <si>
    <t xml:space="preserve">A. Document reconstruction</t>
  </si>
  <si>
    <t xml:space="preserve">Text fidelity</t>
  </si>
  <si>
    <t xml:space="preserve">Correct normalised word tokens / reference tokens (abstract)</t>
  </si>
  <si>
    <t xml:space="preserve">Reading continuity</t>
  </si>
  <si>
    <t xml:space="preserve">Numbered objects inserted without interrupting a body sentence / all numbered objects</t>
  </si>
  <si>
    <t xml:space="preserve">B. Tables</t>
  </si>
  <si>
    <t xml:space="preserve">Table coverage</t>
  </si>
  <si>
    <t xml:space="preserve">Numbered tables whose data content is retained / numbered tables</t>
  </si>
  <si>
    <t xml:space="preserve">Basic table structure</t>
  </si>
  <si>
    <t xml:space="preserve">Tables with identifiable rows and columns / numbered tables</t>
  </si>
  <si>
    <t xml:space="preserve">Table header hierarchy</t>
  </si>
  <si>
    <t xml:space="preserve">Tables with nested headers whose parent-child relations are correct / tables with nested headers</t>
  </si>
  <si>
    <t xml:space="preserve">Table numerical fidelity</t>
  </si>
  <si>
    <t xml:space="preserve">Correctly transcribed numerical entries / reference entries</t>
  </si>
  <si>
    <t xml:space="preserve">Numerical-context preservation</t>
  </si>
  <si>
    <t xml:space="preserve">Values bound to correct row/column label, unit and ± or range (strict label matching) / values checked</t>
  </si>
  <si>
    <t xml:space="preserve">C. Figures and captions</t>
  </si>
  <si>
    <t xml:space="preserve">Figure visual preservation</t>
  </si>
  <si>
    <t xml:space="preserve">Figures retained with all recognisable panels / numbered figures</t>
  </si>
  <si>
    <t xml:space="preserve">Caption coverage</t>
  </si>
  <si>
    <t xml:space="preserve">Numbered captions retained / numbered captions (Tabula: table captions only)</t>
  </si>
  <si>
    <t xml:space="preserve">Caption-object linkage</t>
  </si>
  <si>
    <t xml:space="preserve">Captions identifiable with their correct object / all numbered objects (Tabula: tables only)</t>
  </si>
  <si>
    <t xml:space="preserve">Figure numerical values</t>
  </si>
  <si>
    <t xml:space="preserve">Plotted values recovered as structured data</t>
  </si>
  <si>
    <t xml:space="preserve">Not supported</t>
  </si>
  <si>
    <t xml:space="preserve">D. Provenance and readiness</t>
  </si>
  <si>
    <t xml:space="preserve">Native provenance output</t>
  </si>
  <si>
    <t xml:space="preserve">Source location written by the tool (capability, accuracy not scored)</t>
  </si>
  <si>
    <t xml:space="preserve">Page + bounding box per element (JSON)</t>
  </si>
  <si>
    <t xml:space="preserve">None (page breaks only)</t>
  </si>
  <si>
    <t xml:space="preserve">Bounding box per layout region (JSON)</t>
  </si>
  <si>
    <t xml:space="preserve">Page-level only</t>
  </si>
  <si>
    <t xml:space="preserve">Page + table area (JSON)</t>
  </si>
  <si>
    <t xml:space="preserve">Hardware</t>
  </si>
  <si>
    <t xml:space="preserve">Minimum practical setup for local use</t>
  </si>
  <si>
    <t xml:space="preserve">CPU; Apple MPS / GPU optional</t>
  </si>
  <si>
    <t xml:space="preserve">GPU recommended</t>
  </si>
  <si>
    <t xml:space="preserve">CPU</t>
  </si>
  <si>
    <t xml:space="preserve">NVIDIA GPU required</t>
  </si>
  <si>
    <t xml:space="preserve">CPU (Java runtime)</t>
  </si>
  <si>
    <t xml:space="preserve">Interface and licence</t>
  </si>
  <si>
    <t xml:space="preserve">Documented interface; code licence</t>
  </si>
  <si>
    <t xml:space="preserve">Python API + CLI; MIT</t>
  </si>
  <si>
    <t xml:space="preserve">Python API + CLI; MIT code, CC BY-NC model weights</t>
  </si>
  <si>
    <t xml:space="preserve">Python API + CLI; Apache-2.0</t>
  </si>
  <si>
    <t xml:space="preserve">Python pipeline; Apache-2.0</t>
  </si>
  <si>
    <t xml:space="preserve">Java CLI / tabula-py; MIT</t>
  </si>
  <si>
    <t xml:space="preserve">Notes. Articles: P1 Bergström et al. (2013), P2 Anger (1977, scanned), P3 Graiff et al. (2017), P4 Jormalainen et al. (2016), P5 Charles et al. (2018). Values are pooled counts across articles; [k=x/y] marks measures scored on fewer articles than available. Denominators always include every item in the source article, so items missing from the output count as failures.</t>
  </si>
  <si>
    <t xml:space="preserve">Not supported = the tool does not produce this output by design. Not scored = not assessed in this study. olmOCR 2 was not run on P2.</t>
  </si>
  <si>
    <t xml:space="preserve">Numerical fidelity scores transcription only; cell placement is captured by table structure and numerical-context preservation. For P5 Table 3, olmOCR 2 placed 2/30 values in the correct matrix cells and is excluded from the pooled transcription score.</t>
  </si>
  <si>
    <t xml:space="preserve">Context preservation uses strict label matching (species names, chemical symbols, interaction signs, ± and ranges must be exact). P2 was excluded because its table could not be reconstructed reliably by any tool.</t>
  </si>
  <si>
    <t xml:space="preserve">Text fidelity was assessed on abstracts and may overstate whole-document fidelity. P2 was processed with its existing OCR text layer.</t>
  </si>
  <si>
    <t xml:space="preserve">Block D reports tool capabilities from documentation; provenance accuracy and runtime were not measured because runs were not made under one controlled environment.</t>
  </si>
  <si>
    <t xml:space="preserve">Paper</t>
  </si>
  <si>
    <t xml:space="preserve">Docling correct (n)</t>
  </si>
  <si>
    <t xml:space="preserve">Docling assessed (N)</t>
  </si>
  <si>
    <t xml:space="preserve">Nougat correct (n)</t>
  </si>
  <si>
    <t xml:space="preserve">Nougat assessed (N)</t>
  </si>
  <si>
    <t xml:space="preserve">PP-StructureV2 correct (n)</t>
  </si>
  <si>
    <t xml:space="preserve">PP-StructureV2 assessed (N)</t>
  </si>
  <si>
    <t xml:space="preserve">olmOCR 2 correct (n)</t>
  </si>
  <si>
    <t xml:space="preserve">olmOCR 2 assessed (N)</t>
  </si>
  <si>
    <t xml:space="preserve">Tabula correct (n)</t>
  </si>
  <si>
    <t xml:space="preserve">Tabula assessed (N)</t>
  </si>
  <si>
    <t xml:space="preserve">Harmonisation note</t>
  </si>
  <si>
    <t xml:space="preserve">P1 Bergström 2013</t>
  </si>
  <si>
    <t xml:space="preserve">NS</t>
  </si>
  <si>
    <t xml:space="preserve">P2 Anger 1977</t>
  </si>
  <si>
    <t xml:space="preserve">not run</t>
  </si>
  <si>
    <t xml:space="preserve">olmOCR 2 not run on P2</t>
  </si>
  <si>
    <t xml:space="preserve">P3 Graiff 2017</t>
  </si>
  <si>
    <t xml:space="preserve">Nougat retained only the final abstract fragment</t>
  </si>
  <si>
    <t xml:space="preserve">P4 Jormalainen 2016</t>
  </si>
  <si>
    <t xml:space="preserve">P5 Charles 2018</t>
  </si>
  <si>
    <t xml:space="preserve">Nougat output starts at the Introduction</t>
  </si>
  <si>
    <t xml:space="preserve">not scored</t>
  </si>
  <si>
    <t xml:space="preserve">Nougat: missing objects counted as failures (was 0/4)</t>
  </si>
  <si>
    <t xml:space="preserve">Missing objects counted as failures (Nougat was 0/6, olmOCR 2 3/7)</t>
  </si>
  <si>
    <t xml:space="preserve">Nougat: missing objects counted as failures (was 1/9)</t>
  </si>
  <si>
    <t xml:space="preserve">olmOCR 2: Tables 3-4 caption + empty markup only, counted as not retained</t>
  </si>
  <si>
    <t xml:space="preserve">Nougat Table 2 present only as fragment (fails structure)</t>
  </si>
  <si>
    <t xml:space="preserve">olmOCR 2 Table 3 (filled diagonal) now fails, as for Nougat (was 3/3); Tabula derived from note: only Table 3 grid usable</t>
  </si>
  <si>
    <t xml:space="preserve">Table 1 only (Table 2 flat; Docling was 1/2)</t>
  </si>
  <si>
    <t xml:space="preserve">Table 2 only. P3 and P5 have no nested headers</t>
  </si>
  <si>
    <t xml:space="preserve">Table 3</t>
  </si>
  <si>
    <t xml:space="preserve">Same sample for all tools: Table 1, Hydrobia ulvae, 30 entries (Docling/Nougat were 60-entry samples)</t>
  </si>
  <si>
    <t xml:space="preserve">Table 1, all entries</t>
  </si>
  <si>
    <t xml:space="preserve">Both tables; Tabula missed Table 1 (23 entries counted as missed)</t>
  </si>
  <si>
    <t xml:space="preserve">Table 3, transcription only (cell placement scored under structure). olmOCR 2 scored only under strict cell matching (2/30), so excluded here</t>
  </si>
  <si>
    <t xml:space="preserve">Table 1. Tabula: values only readable after manual splitting, counted 0</t>
  </si>
  <si>
    <t xml:space="preserve">Table 1</t>
  </si>
  <si>
    <t xml:space="preserve">Table 2</t>
  </si>
  <si>
    <t xml:space="preserve">Table 1, salinity mean ± SEM</t>
  </si>
  <si>
    <t xml:space="preserve">PP-StructureV2 crops not checked for P2-P5</t>
  </si>
  <si>
    <t xml:space="preserve">Docling corrected from '8/9 (100%)'</t>
  </si>
  <si>
    <t xml:space="preserve">Docling set to 8/9 (cannot exceed caption coverage). Objects without output count as failures</t>
  </si>
  <si>
    <t xml:space="preserve">PP-StructureV2 figure linkage not checked (tables: 8/8 over P2-P5)</t>
  </si>
  <si>
    <t xml:space="preserve">Blue = counts from the author's manual assessment (original notes in S3.4), harmonised as noted. n = number of items the tool got right; N = number of items checked in the source article; score = n/N. NS = not supported by tool design. 'not scored' = this item was not assessed for that tool and article; 'not run' = the tool was not run on that article (olmOCR 2 on P2).</t>
  </si>
  <si>
    <t xml:space="preserve">ID</t>
  </si>
  <si>
    <t xml:space="preserve">Article</t>
  </si>
  <si>
    <t xml:space="preserve">Journal</t>
  </si>
  <si>
    <t xml:space="preserve">PDF type</t>
  </si>
  <si>
    <t xml:space="preserve">Tables</t>
  </si>
  <si>
    <t xml:space="preserve">Figures</t>
  </si>
  <si>
    <t xml:space="preserve">Why included</t>
  </si>
  <si>
    <t xml:space="preserve">P1</t>
  </si>
  <si>
    <t xml:space="preserve">Bergström et al. 2013</t>
  </si>
  <si>
    <t xml:space="preserve">Marine Ecology Progress Series 485</t>
  </si>
  <si>
    <t xml:space="preserve">Born-digital</t>
  </si>
  <si>
    <t xml:space="preserve">± and ranges by area/phase; symbol-coded species table; grouped-header statistics tables</t>
  </si>
  <si>
    <t xml:space="preserve">P2</t>
  </si>
  <si>
    <t xml:space="preserve">Anger 1977</t>
  </si>
  <si>
    <t xml:space="preserve">Int. Revue ges. Hydrobiol. 62</t>
  </si>
  <si>
    <t xml:space="preserve">Scanned (existing OCR layer)</t>
  </si>
  <si>
    <t xml:space="preserve">Scanned route; large rotated table across two pages with three-level header</t>
  </si>
  <si>
    <t xml:space="preserve">P3</t>
  </si>
  <si>
    <t xml:space="preserve">Graiff et al. 2017</t>
  </si>
  <si>
    <t xml:space="preserve">Botanica Marina (author preprint)</t>
  </si>
  <si>
    <t xml:space="preserve">Experimental stressor study; row-grouped ANOVA table; statistics in text; page noise</t>
  </si>
  <si>
    <t xml:space="preserve">P4</t>
  </si>
  <si>
    <t xml:space="preserve">Jormalainen et al. 2016</t>
  </si>
  <si>
    <t xml:space="preserve">Biological Invasions 18</t>
  </si>
  <si>
    <t xml:space="preserve">Clean baseline layout; grouped column headers</t>
  </si>
  <si>
    <t xml:space="preserve">P5</t>
  </si>
  <si>
    <t xml:space="preserve">Charles et al. 2018</t>
  </si>
  <si>
    <t xml:space="preserve">Estuarine, Coastal and Shelf Science 212</t>
  </si>
  <si>
    <t xml:space="preserve">Non-Baltic; species × site table; triangular similarity matrix; ± SEM</t>
  </si>
  <si>
    <t xml:space="preserve">Table S3.3. Tool versions, run mode and settings used in the empirical evaluation.</t>
  </si>
  <si>
    <t xml:space="preserve">Tool</t>
  </si>
  <si>
    <t xml:space="preserve">Version used</t>
  </si>
  <si>
    <t xml:space="preserve">Run mode</t>
  </si>
  <si>
    <t xml:space="preserve">Key settings</t>
  </si>
  <si>
    <t xml:space="preserve">Hardware (CPU/GPU, RAM)</t>
  </si>
  <si>
    <t xml:space="preserve">Operating system</t>
  </si>
  <si>
    <t xml:space="preserve">Run date(s)</t>
  </si>
  <si>
    <t xml:space="preserve">Articles processed</t>
  </si>
  <si>
    <t xml:space="preserve">Licence</t>
  </si>
  <si>
    <t xml:space="preserve">Code repository</t>
  </si>
  <si>
    <t xml:space="preserve">Notes</t>
  </si>
  <si>
    <t xml:space="preserve">P1–P5</t>
  </si>
  <si>
    <t xml:space="preserve">MIT</t>
  </si>
  <si>
    <t xml:space="preserve">https://github.com/docling-project/docling</t>
  </si>
  <si>
    <t xml:space="preserve">MIT (code); CC BY-NC 4.0 (model weights)</t>
  </si>
  <si>
    <t xml:space="preserve">https://github.com/facebookresearch/nougat</t>
  </si>
  <si>
    <t xml:space="preserve">PP-StructureV2 (PaddleOCR)</t>
  </si>
  <si>
    <t xml:space="preserve">Apache-2.0</t>
  </si>
  <si>
    <t xml:space="preserve">https://github.com/PaddlePaddle/PaddleOCR</t>
  </si>
  <si>
    <t xml:space="preserve">P1, P3, P4, P5</t>
  </si>
  <si>
    <t xml:space="preserve">https://github.com/allenai/olmocr</t>
  </si>
  <si>
    <t xml:space="preserve">Not run on P2 (Anger 1977)</t>
  </si>
  <si>
    <t xml:space="preserve">https://github.com/tabulapdf/tabula-java</t>
  </si>
  <si>
    <t xml:space="preserve">State whether tabula-java, tabula-py or the desktop app was used</t>
  </si>
  <si>
    <t xml:space="preserve">How to fill: complete the yellow cells. Run mode has a drop-down list.</t>
  </si>
  <si>
    <t xml:space="preserve">Version used: the exact version string, e.g. from 'pip show docling' or the release tag; for web demos give the demo URL and access date.</t>
  </si>
  <si>
    <t xml:space="preserve">Key settings: anything changed from defaults (OCR on/off, table mode, page range, model size, prompt or temperature for olmOCR 2).</t>
  </si>
  <si>
    <t xml:space="preserve">Licence and repository: from each tool's public repository; check against the version you ran.</t>
  </si>
  <si>
    <t xml:space="preserve">Table S3.4. Original per-article assessment notes, as recorded before harmonisation. Harmonised counts used in Table 6 are in S3.1; differences are explained in its notes column.</t>
  </si>
  <si>
    <t xml:space="preserve">Evaluation dimension</t>
  </si>
  <si>
    <t xml:space="preserve">Original result</t>
  </si>
  <si>
    <t xml:space="preserve">Scope / evidence note</t>
  </si>
  <si>
    <t xml:space="preserve">Remark</t>
  </si>
  <si>
    <t xml:space="preserve">221/221 (100%)</t>
  </si>
  <si>
    <t xml:space="preserve">Abstract only; case normalized, punctuation excluded, source line-break hyphenation removed</t>
  </si>
  <si>
    <t xml:space="preserve">220/221 (99.5%)</t>
  </si>
  <si>
    <t xml:space="preserve">Abstract only; one substitution: “eelpout” → “eelout”</t>
  </si>
  <si>
    <t xml:space="preserve">217/221 (98.2%)</t>
  </si>
  <si>
    <t xml:space="preserve">Abstract only; case normalized, punctuation excluded, line-break hyphenation removed; four word substitutions</t>
  </si>
  <si>
    <t xml:space="preserve">Abstract only; verified token-for-token after case normalization, punctuation exclusion, and removal of source line-break hyphenation</t>
  </si>
  <si>
    <t xml:space="preserve">Not applicable</t>
  </si>
  <si>
    <t xml:space="preserve">Table extractor; the abstract is not included in this output</t>
  </si>
  <si>
    <t xml:space="preserve">6/9 (66.7%)</t>
  </si>
  <si>
    <t xml:space="preserve">All 4 table and 5 figure insertions</t>
  </si>
  <si>
    <t xml:space="preserve">3/9 (33.3%)</t>
  </si>
  <si>
    <t xml:space="preserve">Figures 1–4 and Tables 2–3 interrupt sentences; figure insertions consist of captions</t>
  </si>
  <si>
    <t xml:space="preserve">Not evaluated</t>
  </si>
  <si>
    <t xml:space="preserve">Reordering and duplicated/interleaved content observed; the nine insertion locations were not individually scored</t>
  </si>
  <si>
    <t xml:space="preserve">Figure 1 interrupts “spe–cies”; Table 2 and Figure 2 separate “The Shannon index differed” from “among areas.” Missing page 7 and 9 body text prevents a complete nine-insertion score</t>
  </si>
  <si>
    <t xml:space="preserve">Output consists of table candidates rather than a reconstructed document</t>
  </si>
  <si>
    <t xml:space="preserve">4/4 (100%)</t>
  </si>
  <si>
    <t xml:space="preserve">Entire article</t>
  </si>
  <si>
    <t xml:space="preserve">Includes incomplete Table 4</t>
  </si>
  <si>
    <t xml:space="preserve">Entire article; includes fragmented Table 2</t>
  </si>
  <si>
    <t xml:space="preserve">All four numbered table representations present; Tables 3–4 contain captions and empty markup, without recovered data</t>
  </si>
  <si>
    <t xml:space="preserve">Content from all four tables appears on original pages 3, 6, 7, and 9; some is merged with surrounding text</t>
  </si>
  <si>
    <t xml:space="preserve">Entire article; visual assessment</t>
  </si>
  <si>
    <t xml:space="preserve">3/4 (75%)</t>
  </si>
  <si>
    <t xml:space="preserve">Tables 1–3 pass; Table 4 is truncated and has inconsistent cells</t>
  </si>
  <si>
    <t xml:space="preserve">Tables 1, 3, and 4 pass; Table 2 is fragmented and interleaved with body text</t>
  </si>
  <si>
    <t xml:space="preserve">2/4 (50%)</t>
  </si>
  <si>
    <t xml:space="preserve">Tables 1–2 pass; Tables 3–4 fail because populated data rows are absent</t>
  </si>
  <si>
    <t xml:space="preserve">Tables 2–4 retain recognizable rows and column arrangements, with merged cells; Table 1 collapses each measurement row into one cell</t>
  </si>
  <si>
    <t xml:space="preserve">Tables 1–2 pass; grouped headers in Tables 3–4 are malformed</t>
  </si>
  <si>
    <t xml:space="preserve">Tables 1 and 4 pass; Tables 2 and 3 have missing or malformed header relationships</t>
  </si>
  <si>
    <t xml:space="preserve">Tables 1–2 retain interpretable headers and grouping; Tables 3–4 fail</t>
  </si>
  <si>
    <t xml:space="preserve">0/4 (0%)</t>
  </si>
  <si>
    <t xml:space="preserve">No table fully preserves the original header-to-column structure; headers or subordinate columns are merged or displaced</t>
  </si>
  <si>
    <t xml:space="preserve">110/110 (100%)</t>
  </si>
  <si>
    <t xml:space="preserve">Table 3 only; includes inequality expressions</t>
  </si>
  <si>
    <t xml:space="preserve">Table 3 only; LaTeX inequality markup normalized before comparison</t>
  </si>
  <si>
    <t xml:space="preserve">Table 3 only; includes inequality expressions; does not represent whole-document numerical accuracy</t>
  </si>
  <si>
    <t xml:space="preserve">0/110 (0%)</t>
  </si>
  <si>
    <t xml:space="preserve">Table 3 only; all 110 reference entries are missing from its raw response</t>
  </si>
  <si>
    <t xml:space="preserve">Table 3 only; all values and inequality expressions retained, including values sharing a merged cell</t>
  </si>
  <si>
    <t xml:space="preserve">21/21 (100%)</t>
  </si>
  <si>
    <t xml:space="preserve">Table 1 only</t>
  </si>
  <si>
    <t xml:space="preserve">7/21 (33.3%)</t>
  </si>
  <si>
    <t xml:space="preserve">Table 1 only; seven depth ranges retained, but all 14 temperature/salinity cells lose ± notation</t>
  </si>
  <si>
    <t xml:space="preserve">Table 1 only; seven rows × three measurement cells retain context, ± notation, and depth ranges</t>
  </si>
  <si>
    <t xml:space="preserve">21/21 (100%)—manual recovery</t>
  </si>
  <si>
    <t xml:space="preserve">Table 1 only; all values, ± notation, ranges, and context remain readable, but the 21 measurement cells are not separately structured</t>
  </si>
  <si>
    <t xml:space="preserve">4/5 (80%)</t>
  </si>
  <si>
    <t xml:space="preserve">0/5 (0%)</t>
  </si>
  <si>
    <t xml:space="preserve">No figure images appear in the supplied output</t>
  </si>
  <si>
    <t xml:space="preserve">5/5 (100%)</t>
  </si>
  <si>
    <t xml:space="preserve">All five figures retain recognizable panels; some crops include adjacent table content, and Figure 4 has minor edge clipping</t>
  </si>
  <si>
    <t xml:space="preserve">No actual figure images in the supplied outputs; Figure 1 contains an image filename reference only</t>
  </si>
  <si>
    <t xml:space="preserve">Tabula does not preserve figure images; extracted axis labels are not figure preservation</t>
  </si>
  <si>
    <t xml:space="preserve">8/9 (100%)</t>
  </si>
  <si>
    <t xml:space="preserve">4 table captions and 5 figure captions</t>
  </si>
  <si>
    <t xml:space="preserve">8/9 (89%)</t>
  </si>
  <si>
    <t xml:space="preserve">9/9 (100%)</t>
  </si>
  <si>
    <t xml:space="preserve">Four table captions and five figure captions recognizable; caption text contains some OCR errors</t>
  </si>
  <si>
    <t xml:space="preserve">8/9 (88.9%)</t>
  </si>
  <si>
    <t xml:space="preserve">Four table captions and Figure captions 1, 2, 4, and 5 present; Figure 3 caption missing</t>
  </si>
  <si>
    <t xml:space="preserve">1/9 (11.1%)</t>
  </si>
  <si>
    <t xml:space="preserve">Only Table 1’s numbered caption retained; fragments of other captions do not count as complete numbered captions</t>
  </si>
  <si>
    <t xml:space="preserve">Manual caption–object identification</t>
  </si>
  <si>
    <t xml:space="preserve">Does not assess structured caption links</t>
  </si>
  <si>
    <t xml:space="preserve">Figures excluded because their images are absent</t>
  </si>
  <si>
    <t xml:space="preserve">Caption presence checked; a separate caption–object identification audit was not completed</t>
  </si>
  <si>
    <t xml:space="preserve">Table objects only; Tables 1–2 identifiable with populated content. Tables 3–4 lack recovered data; figure images absent</t>
  </si>
  <si>
    <t xml:space="preserve">1/4 (25%)</t>
  </si>
  <si>
    <t xml:space="preserve">Table captions only; Table 1 identifiable with its data; other table captions absent</t>
  </si>
  <si>
    <t xml:space="preserve">Figure numerical fidelity</t>
  </si>
  <si>
    <t xml:space="preserve">No structured plotted-value dataset available in supplied export</t>
  </si>
  <si>
    <t xml:space="preserve">No structured plotted-value dataset supplied</t>
  </si>
  <si>
    <t xml:space="preserve">Raster figure crops supplied; no structured plotted-value dataset evaluated</t>
  </si>
  <si>
    <t xml:space="preserve">Some axis ticks appear as false table candidates; plotted observations are not recovered</t>
  </si>
  <si>
    <t xml:space="preserve">Source provenance accuracy</t>
  </si>
  <si>
    <t xml:space="preserve">Not assessable</t>
  </si>
  <si>
    <t xml:space="preserve">Requires structured Docling output</t>
  </si>
  <si>
    <t xml:space="preserve">Structured source mappings not supplied</t>
  </si>
  <si>
    <t xml:space="preserve">Source-page labels present; structured bounding-box mappings not supplied</t>
  </si>
  <si>
    <t xml:space="preserve">Attachment order provides page correspondence for review; explicit source-region mappings absent</t>
  </si>
  <si>
    <t xml:space="preserve">Original-page labels present; native table/cell geometry was not supplied for verification</t>
  </si>
  <si>
    <t xml:space="preserve">Conversion runtime</t>
  </si>
  <si>
    <t xml:space="preserve">Not available</t>
  </si>
  <si>
    <t xml:space="preserve">Requires execution log</t>
  </si>
  <si>
    <t xml:space="preserve">Requires the successful full-run log</t>
  </si>
  <si>
    <t xml:space="preserve">Requires summary.json and the successful full-run log</t>
  </si>
  <si>
    <t xml:space="preserve">Raw responses contain no execution timings; requires summary.json or the full-run log</t>
  </si>
  <si>
    <t xml:space="preserve">Requires summary.json and the execution log</t>
  </si>
  <si>
    <t xml:space="preserve">187/187 (100%)</t>
  </si>
  <si>
    <t xml:space="preserve">Abstract only; lowercase, punctuation excluded, source line-break hyphenation removed. Does not represent whole-document accuracy: body paragraphs contain corrupted text.</t>
  </si>
  <si>
    <t xml:space="preserve">182/187 (97.3%)</t>
  </si>
  <si>
    <t xml:space="preserve">Abstract only; lowercase, punctuation and Markdown emphasis excluded. Five substitutions listed below.</t>
  </si>
  <si>
    <t xml:space="preserve">186/187 (99.5%)</t>
  </si>
  <si>
    <t xml:space="preserve">Abstract only, checked against the visible source text. Case normalized, punctuation excluded and source line-break hyphenation removed. One substitution: “Baltic” → “Baltie”. The two abstract paragraphs were evaluated together despite being separated in the export.</t>
  </si>
  <si>
    <t xml:space="preserve">Tabula output contains table candidates, not an abstract or body-text export.</t>
  </si>
  <si>
    <t xml:space="preserve">3/7 (42.9%)</t>
  </si>
  <si>
    <t xml:space="preserve">Two numbered tables and five figures. Table 1 and Figures 3–4 occur between sentences; Figures 1, 2, 5 and Table 2 interrupt sentences. Table 1’s continuation is treated as part of the same object.</t>
  </si>
  <si>
    <t xml:space="preserve">Retained insertions only: Figures 3–5 captions and Table 2. All interrupt body sentences. Missing objects are excluded from this denominator and assessed under coverage.</t>
  </si>
  <si>
    <t xml:space="preserve">Not fully quantified</t>
  </si>
  <si>
    <t xml:space="preserve">Reading-order defects are evident: abstract paragraphs are separated; body paragraphs are reordered; figure captions and chart-label OCR are interleaved. A defensible insertion-by-insertion percentage has not been established.</t>
  </si>
  <si>
    <t xml:space="preserve">No reconstructed body-text reading order supplied.</t>
  </si>
  <si>
    <t xml:space="preserve">2/2 (100%)</t>
  </si>
  <si>
    <t xml:space="preserve">Both tables appear; Table 1 is exported as two separate HTML tables. Coverage does not imply correctness.</t>
  </si>
  <si>
    <t xml:space="preserve">1/2 (50%)</t>
  </si>
  <si>
    <t xml:space="preserve">Table 1 is absent; Table 2 is present but malformed.</t>
  </si>
  <si>
    <t xml:space="preserve">Table 1 spans two separately exported table blocks; Table 2 is retained. Coverage measures presence, not correctness.</t>
  </si>
  <si>
    <t xml:space="preserve">Table 1 appears as two candidates from source pages 2–3. Table 2, on source page 8, is absent.</t>
  </si>
  <si>
    <t xml:space="preserve">Table 2 retains its three category columns. Table 1 fails because portions of its continuation merge distinct rows and values.</t>
  </si>
  <si>
    <t xml:space="preserve">0/2 (0%)</t>
  </si>
  <si>
    <t xml:space="preserve">Table 1 absent. Table 2 starts with three columns, but subsequent rows lack required empty cells, shifting species into incorrect columns.</t>
  </si>
  <si>
    <t xml:space="preserve">Table 2 retains its three category columns. Table 1 has incorrect merged cells, mixed species labels and collapsed mean/standard-error/maximum rows.</t>
  </si>
  <si>
    <t xml:space="preserve">Table 1 merges different source columns and does not preserve their separate alignment. Table 2 is missing.</t>
  </si>
  <si>
    <t xml:space="preserve">Table 1’s distance groups and subordinate A/B/P/D headers are malformed. Table 2 retains its three category headings; it has no nested header hierarchy.</t>
  </si>
  <si>
    <t xml:space="preserve">0/1 (0%)</t>
  </si>
  <si>
    <t xml:space="preserve">Table 1’s nested distance-band and A/B/P/D headings are absent. Table 2 has single-level category headings and is excluded.</t>
  </si>
  <si>
    <t xml:space="preserve">Table 1 only. Distance groups should each contain A, B, P and D subcolumns; the extracted spans and header assignments are malformed. Table 2 has flat headers.</t>
  </si>
  <si>
    <t xml:space="preserve">Table 1’s three distance groups and subordinate A/B/P/D columns are malformed. For example, the source 300–700 m becomes 300–100 m.</t>
  </si>
  <si>
    <t xml:space="preserve">43/60 (71.7%)</t>
  </si>
  <si>
    <t xml:space="preserve">Table 1 sample: Hydrobia ulvae and Mytilus edulis; mean, standard-error and maximum rows; all three distance bands. Blank/dash cells excluded. Results: 20/30 and 23/30, respectively.</t>
  </si>
  <si>
    <t xml:space="preserve">0/60 (0%)</t>
  </si>
  <si>
    <t xml:space="preserve">Same Table 1 sample used for Docling: Hydrobia ulvae and Mytilus edulis, mean, standard-error and maximum rows across three distance bands; blank cells excluded. All 60 entries are absent.</t>
  </si>
  <si>
    <t xml:space="preserve">30/30 (100%)</t>
  </si>
  <si>
    <t xml:space="preserve">Hydrobia ulvae in Table 1 only: three distance bands, each containing three abundance, three biomass, one presence-frequency and three dominance values. All numerical values are recoverable; spacing inside integers normalized. This does not assess cell alignment.</t>
  </si>
  <si>
    <t xml:space="preserve">21/30 (70%)</t>
  </si>
  <si>
    <t xml:space="preserve">Table 1, Hydrobia ulvae only; all numerical mean, standard-error and maximum entries across three distance groups. Dashes excluded.</t>
  </si>
  <si>
    <t xml:space="preserve">This paper requires different context fields from the previous paper. Corrupted species labels and headers are visible, but a complete cell-context audit has not been calculated.</t>
  </si>
  <si>
    <t xml:space="preserve">Same 60 Table 1 entries. Neither the values nor their table context are retained.</t>
  </si>
  <si>
    <t xml:space="preserve">Not quantified</t>
  </si>
  <si>
    <t xml:space="preserve">Table 1’s malformed headers and merged statistical rows prevent a reliable context-preservation score without reconstructing and auditing each mapping.</t>
  </si>
  <si>
    <t xml:space="preserve">Species labels, units and grouped headers are corrupted; several variables share one output cell. A defensible complete context count has not been established.</t>
  </si>
  <si>
    <t xml:space="preserve">All five figures are present as embedded images in the HTML. This measures visual retention, not recovery of plotted numbers.</t>
  </si>
  <si>
    <t xml:space="preserve">No figure images or image links appear in the supplied .mmd.</t>
  </si>
  <si>
    <t xml:space="preserve">Not assessable from attached files</t>
  </si>
  <si>
    <t xml:space="preserve">HTML contains five figure-image references, but the referenced PNG crops were not attached. Image references do not prove complete figure preservation.</t>
  </si>
  <si>
    <t xml:space="preserve">Figure extraction is outside this Tabula table test.</t>
  </si>
  <si>
    <t xml:space="preserve">7/7 (100%)</t>
  </si>
  <si>
    <t xml:space="preserve">Both table captions and all five figure captions are present. This measures caption presence, not exact caption text accuracy.</t>
  </si>
  <si>
    <t xml:space="preserve">4/7 (57.1%)</t>
  </si>
  <si>
    <t xml:space="preserve">Table 2 and Figures 3, 4 and 5 captions retained. Table 1 and Figures 1–2 captions absent.</t>
  </si>
  <si>
    <t xml:space="preserve">Both table captions and all five figure captions retained, with recognition errors. Figure 2’s caption also appears more than once; duplicates counted once.</t>
  </si>
  <si>
    <t xml:space="preserve">Neither original table caption appears in the supplied result.</t>
  </si>
  <si>
    <t xml:space="preserve">All numbered objects can be manually associated with their captions in the HTML. Does not assess machine-readable caption links.</t>
  </si>
  <si>
    <t xml:space="preserve">1/1 (100%)</t>
  </si>
  <si>
    <t xml:space="preserve">The retained Table 2 caption identifies its malformed table. Figure captions excluded because figure images are absent. This does not imply correct table structure.</t>
  </si>
  <si>
    <t xml:space="preserve">Both table captions can be associated with their table blocks. Figure associations excluded because the image files are unavailable.</t>
  </si>
  <si>
    <t xml:space="preserve">Source-page labels identify candidates, but do not replace the missing numbered table captions.</t>
  </si>
  <si>
    <t xml:space="preserve">Embedded plot images are available, but no structured plotted-value dataset was supplied.</t>
  </si>
  <si>
    <t xml:space="preserve">No structured plotted-value dataset supplied.</t>
  </si>
  <si>
    <t xml:space="preserve">Chart labels appear as OCR text, but no validated structured plotted-value dataset is supplied.</t>
  </si>
  <si>
    <t xml:space="preserve">No plot-digitization output supplied.</t>
  </si>
  <si>
    <t xml:space="preserve">The supplied HTML/TXT exports do not provide the structured source mappings required for this measurement.</t>
  </si>
  <si>
    <t xml:space="preserve">Structured source-page and region mappings are not supplied.</t>
  </si>
  <si>
    <t xml:space="preserve">Source-page markers are present, but the region-coordinate JSON files were not attached.</t>
  </si>
  <si>
    <t xml:space="preserve">Page labels are present, but the raw JSON coordinates were not supplied.</t>
  </si>
  <si>
    <t xml:space="preserve">Successful full-run timing log not supplied.</t>
  </si>
  <si>
    <t xml:space="preserve">Requires this run’s summary.json or execution log.</t>
  </si>
  <si>
    <t xml:space="preserve">No summary.json or execution log supplied.</t>
  </si>
  <si>
    <t xml:space="preserve">254/254 (100%)</t>
  </si>
  <si>
    <t xml:space="preserve">Abstract content only; lowercase, punctuation excluded, source line-break hyphenation removed, pCO 2 normalized to pCO2. Inserted author affiliations manually excluded. This measures retained content, not correct reading order or absence of extra text.</t>
  </si>
  <si>
    <t xml:space="preserve">22/254 (8.7%)</t>
  </si>
  <si>
    <t xml:space="preserve">Abstract only; case normalized, punctuation and Markdown formatting excluded, source line-break hyphenation removed. Only the final fragment remains; “vesiculosus” becomes “vesiculus”.</t>
  </si>
  <si>
    <t xml:space="preserve">238/254 (93.7%)</t>
  </si>
  <si>
    <t xml:space="preserve">Abstract only; case normalized, punctuation excluded and source line-break hyphenation removed. Both separated abstract fragments evaluated together. Errors include split words, pCO₂ → pCO, 25°C → 25C, and “alter” → “altei”.</t>
  </si>
  <si>
    <t xml:space="preserve">Abstract only; case and Unicode normalized, punctuation excluded, source line-break hyphenation removed. This is not whole-document accuracy.</t>
  </si>
  <si>
    <t xml:space="preserve">Body paragraphs appear as false table candidates; no abstract fidelity measurement performed.</t>
  </si>
  <si>
    <t xml:space="preserve">7/10 (70%)</t>
  </si>
  <si>
    <t xml:space="preserve">One table and nine numbered figures; Figure 6’s four image fragments counted collectively. Figure 2 interrupts “experimental …”; Table 1 interrupts “This altered receptacle … maturation”; Figure 9 interrupts “release of gametes as … much as 2 weeks earlier.”</t>
  </si>
  <si>
    <t xml:space="preserve">0/6 (0%)</t>
  </si>
  <si>
    <t xml:space="preserve">Table 1 and captions for Figures 1, 2, 7, 8 and 9 interrupt body sentences. The three captions for Figures 7–9 occur within the same interrupted sentence. Missing objects excluded.</t>
  </si>
  <si>
    <t xml:space="preserve">Body passages, captions and chart-label OCR are reordered. Examples include the separated abstract fragments and captions inserted within unfinished body passages on pages 9 and 11. No complete insertion-by-insertion percentage established.</t>
  </si>
  <si>
    <t xml:space="preserve">Table 1 and Figures 1–6 checked. Table 1 and captions for Figures 2, 3 and 5 interrupt sentences. Figures 7–9 excluded because their insertions are absent.</t>
  </si>
  <si>
    <t xml:space="preserve">This is a table-candidate export, not a reconstructed article.</t>
  </si>
  <si>
    <t xml:space="preserve">Table 1 retained. Supplementary tables excluded because their contents are absent from the supplied PDF.</t>
  </si>
  <si>
    <t xml:space="preserve">Table 1 retained. Supplementary tables cited in the article are excluded because they are not included in the source PDF.</t>
  </si>
  <si>
    <t xml:space="preserve">Table 1 retained. Supplementary tables cited in the article are not included in this source PDF and are excluded.</t>
  </si>
  <si>
    <t xml:space="preserve">Main-article Table 1 retained. Supplementary tables excluded.</t>
  </si>
  <si>
    <t xml:space="preserve">Main-article Table 1 is present in the candidate from source page 8. Supplementary tables excluded.</t>
  </si>
  <si>
    <t xml:space="preserve">Table 1 retains the four columns and seven analytical rows within each of four seasonal sections.</t>
  </si>
  <si>
    <t xml:space="preserve">Table 1 retains four columns, four seasonal sections and 28 data rows. This assesses structure, not transcription accuracy.</t>
  </si>
  <si>
    <t xml:space="preserve">Table 1 retains four columns, four seasonal sections and all 28 statistical data rows.</t>
  </si>
  <si>
    <t xml:space="preserve">Table 1 retains four columns and all 28 data rows, grouped by season.</t>
  </si>
  <si>
    <t xml:space="preserve">“Source of variation” and df are merged. Several data rows are combined, and adjacent body text contaminates the candidate.</t>
  </si>
  <si>
    <t xml:space="preserve">Table 1 has a single column-header level, rather than nested column headers. Its four seasonal row groups are retained.</t>
  </si>
  <si>
    <t xml:space="preserve">Table 1 has a single header level; no nested column headers to evaluate.</t>
  </si>
  <si>
    <t xml:space="preserve">Table 1 has flat column headers. Seasonal sections remain identifiable.</t>
  </si>
  <si>
    <t xml:space="preserve">Table 1 has flat column headers; seasonal row groups are retained.</t>
  </si>
  <si>
    <t xml:space="preserve">The original table has flat column headers.</t>
  </si>
  <si>
    <t xml:space="preserve">84/84 (100%)</t>
  </si>
  <si>
    <t xml:space="preserve">Entire Table 1: 4 seasons × 7 analytical rows × 3 numerical columns (df, F-value, p-value). Includes both &lt;0.001 expressions; excludes numbers in captions and notes.</t>
  </si>
  <si>
    <t xml:space="preserve">82/84 (97.6%)</t>
  </si>
  <si>
    <t xml:space="preserve">Entire Table 1: 28 rows × three numerical columns. Spring and autumn “Time” p-values lose their inequality signs: &lt;0.001 → 0.001. All other numerical entries match.</t>
  </si>
  <si>
    <t xml:space="preserve">Entire Table 1: 28 rows × three numerical columns. All df, F-value and p-value entries match, including both &lt;0.001 inequalities.</t>
  </si>
  <si>
    <t xml:space="preserve">83/84 (98.8%)</t>
  </si>
  <si>
    <t xml:space="preserve">Table 1: 28 rows × 3 numerical columns. Autumn “Time” F-value is 28.473 in the source, but 28.673 in the extraction.</t>
  </si>
  <si>
    <t xml:space="preserve">Table 1: 28 rows × 3 numerical entries. Values survive, including inequalities, but some share merged cells. This measures transcription, not correct cell structure.</t>
  </si>
  <si>
    <t xml:space="preserve">Entire Table 1. All checked entries remain associated with the correct seasonal section, row and numerical-column heading. The caption retains the outcome: receptacle abundance (%).</t>
  </si>
  <si>
    <t xml:space="preserve">Table 1 only. Seasonal names, factor rows, statistical columns and receptacle-abundance (%) context remain identifiable. Two inequality conditions are lost. Additional label errors: autumn “(c)” becomes “(d)”, and the species name in the caption is misspelled.</t>
  </si>
  <si>
    <t xml:space="preserve">30/84 (35.7%) — strict label criterion</t>
  </si>
  <si>
    <t xml:space="preserve">Table 1 only. Exact chemical identity and explicit interaction notation required; case ignored. Ten rows retain correct factor labels. Other rows contain CO₂ → CO/CO, or missing interaction signs, affecting 54 numerical cells. No manual correction of labels applied.</t>
  </si>
  <si>
    <t xml:space="preserve">Table 1 only. All entries retain their seasonal group, factor label and df/F/p column. Numerical correctness is scored separately above.</t>
  </si>
  <si>
    <t xml:space="preserve">Seasonal labels survive, but merged rows and the missing separate df column prevent a verified context score without reconstructing the table.</t>
  </si>
  <si>
    <t xml:space="preserve">Numbered Figures 1–9 in the HTML. Figure 6 is fragmented into four images, but all four panels remain recognizable. This does not measure exact preservation of every label.</t>
  </si>
  <si>
    <t xml:space="preserve">0/9 (0%)</t>
  </si>
  <si>
    <t xml:space="preserve">No figure images or image links are present in the supplied MMD. Numbered Figures 1–9 evaluated; graphical abstract excluded.</t>
  </si>
  <si>
    <t xml:space="preserve">HTML contains nine figure-image references, but their PNG crops were not attached. References alone cannot establish panel preservation.</t>
  </si>
  <si>
    <t xml:space="preserve">The pasted response contains one Figure 1 image link, but the referenced image file was not supplied. Captions do not establish image preservation.</t>
  </si>
  <si>
    <t xml:space="preserve">Outside this Tabula table-extraction test.</t>
  </si>
  <si>
    <t xml:space="preserve">10/10 (100%)</t>
  </si>
  <si>
    <t xml:space="preserve">One table caption and nine figure captions are identifiable. Some caption text is split or reordered, particularly for Figures 1 and 4; coverage does not imply exact caption fidelity.</t>
  </si>
  <si>
    <t xml:space="preserve">6/10 (60%)</t>
  </si>
  <si>
    <t xml:space="preserve">Table 1 and Figures 1, 2, 7, 8 and 9 retained. Figure captions 3–6absent. Coverage measures presence, not caption fidelity.</t>
  </si>
  <si>
    <t xml:space="preserve">9/10 (90%)</t>
  </si>
  <si>
    <t xml:space="preserve">Table 1 and numbered Figure captions 1–5 and 7–9 retained, including labels misread as “-igure”. Figure 6 caption text is partly retained, but its number/label is absent; excluded under this numbered-caption criterion.</t>
  </si>
  <si>
    <t xml:space="preserve">Table 1 and Figure captions 1–6 present; Figure captions 7–9 absent from the supplied response. Caption presence does not imply exact transcription.</t>
  </si>
  <si>
    <t xml:space="preserve">Table 1’s numbered caption is absent. The seasonal note beneath the table is retained.</t>
  </si>
  <si>
    <t xml:space="preserve">All ten numbered objects can be manually associated with their captions, including the fragmented Figure 6. Does not assess structured caption links.</t>
  </si>
  <si>
    <t xml:space="preserve">Table 1 caption is identifiable with its extracted table. Figure associations excluded because figure images are absent.</t>
  </si>
  <si>
    <t xml:space="preserve">Table 1 caption can be identified with its table. Figure associations excluded because image crops are unavailable.</t>
  </si>
  <si>
    <t xml:space="preserve">Table 1 only. Figures excluded because their image assets were not supplied.</t>
  </si>
  <si>
    <t xml:space="preserve">No numbered table caption supplied.</t>
  </si>
  <si>
    <t xml:space="preserve">Figure images are retained, but no structured plotted-value dataset is supplied.</t>
  </si>
  <si>
    <t xml:space="preserve">No structured plotted-value dataset supplied. Numbers appearing in captions or body text do not establish plotted-value extraction.</t>
  </si>
  <si>
    <t xml:space="preserve">Chart-label OCR is present, but no validated dataset linking recovered values to plotted series is supplied.</t>
  </si>
  <si>
    <t xml:space="preserve">No extracted plotted-value dataset supplied. Numerical statements in body text are not figure-data extraction.</t>
  </si>
  <si>
    <t xml:space="preserve">The HTML/TXT exports do not supply the structured original-page and bounding-box mappings required for this assessment.</t>
  </si>
  <si>
    <t xml:space="preserve">The supplied MMD contains no structured source-page and bounding-box mappings.</t>
  </si>
  <si>
    <t xml:space="preserve">Page markers are present; region-coordinate JSON files were not supplied.</t>
  </si>
  <si>
    <t xml:space="preserve">The pasted response contains no structured source-page or bounding-box mappings.</t>
  </si>
  <si>
    <t xml:space="preserve">The correct page-8 label is present; bounding-box JSON was not supplied.</t>
  </si>
  <si>
    <t xml:space="preserve">Not available for this output</t>
  </si>
  <si>
    <t xml:space="preserve">No execution log or summary accompanies this updated MMD. The earlier 182.35-second runtime cannot be assigned to this file without confirming its run.</t>
  </si>
  <si>
    <t xml:space="preserve">Requires the execution log or summary.json for this run.</t>
  </si>
  <si>
    <t xml:space="preserve">No timing record supplied for the web run.</t>
  </si>
  <si>
    <t xml:space="preserve">No execution summary or timing log supplied.</t>
  </si>
  <si>
    <t xml:space="preserve">262/262 (100%)</t>
  </si>
  <si>
    <t xml:space="preserve">Abstract content only; lowercase, punctuation excluded, line-break hyphenation removed and ligatures normalized. Inserted author affiliations manually excluded. This measures abstract-word retention, not absence of extra text.</t>
  </si>
  <si>
    <t xml:space="preserve">259/262 (98.9%)</t>
  </si>
  <si>
    <t xml:space="preserve">Abstract only; case normalized, punctuation excluded, PDF ligatures normalized and source line-break hyphenation removed. Three substitutions: “Rhithropanopeus” → “Rhithpropanoeus”; “herbivorous” → “herbivous”; “periphyton” → “periphyto”.</t>
  </si>
  <si>
    <t xml:space="preserve">250/262 (95.4%)</t>
  </si>
  <si>
    <t xml:space="preserve">Abstract only; case normalized, punctuation excluded, PDF ligatures normalized and source line-break hyphenation removed. Twelve reference tokens fail to match: seven words are split in the output and five contain substitutions, including “producer” → “producei/producel”, “Fucus” → “Fucu”, and “from” → “fron”.</t>
  </si>
  <si>
    <t xml:space="preserve">261/262 (99.6%)</t>
  </si>
  <si>
    <t xml:space="preserve">Abstract only; case normalized, punctuation excluded, source line-break hyphenation removed. One substitution: “chironomids” → “chronomids”.</t>
  </si>
  <si>
    <t xml:space="preserve">No complete abstract or body-text export supplied.</t>
  </si>
  <si>
    <t xml:space="preserve">6/7 (85.7%)</t>
  </si>
  <si>
    <t xml:space="preserve">Two table and five figure insertions. Table 1 interrupts “…the results of permutation MANOVA … as well as MDS-ordination … remained nearly identical…”. This does not measure overall paragraph order or caption proximity.</t>
  </si>
  <si>
    <t xml:space="preserve">1/7 (14.3%)</t>
  </si>
  <si>
    <t xml:space="preserve">All two table and five figure insertions checked. Table 1 occurs between complete paragraphs. Table 2 and Figures 1–5 interrupt body sentences; figure insertions contain captions only.</t>
  </si>
  <si>
    <t xml:space="preserve">Paragraphs, captions and chart-label OCR are reordered. For example, Table 1 follows an unfinished body passage, and Figure 3/Table 2 occur after “These arise”, before its continuation on the next page. A complete insertion-by-insertion score has not been established.</t>
  </si>
  <si>
    <t xml:space="preserve">2/7 (28.6%)</t>
  </si>
  <si>
    <t xml:space="preserve">Two table and five figure-caption insertions checked. Table 1 and Figure 2 do not interrupt sentences. Figure 1 interrupts the Results opening; Figure 3, Table 2 and Figures 4–5 separate “These arise” from “through changes…”.</t>
  </si>
  <si>
    <t xml:space="preserve">Table-candidate export; no reconstructed article reading order.</t>
  </si>
  <si>
    <t xml:space="preserve">Both numbered tables are present.</t>
  </si>
  <si>
    <t xml:space="preserve">Both Tables 1 and 2 are present.</t>
  </si>
  <si>
    <t xml:space="preserve">Both Tables 1 and 2 retained.</t>
  </si>
  <si>
    <t xml:space="preserve">Both tables’ contents are present, although their numbered captions are missing.</t>
  </si>
  <si>
    <t xml:space="preserve">Table 2 retained from source page 7. Table 1, on source page 5, is absent.</t>
  </si>
  <si>
    <t xml:space="preserve">Table 1 retains its five columns and seven analytical rows; Table 2 retains its six columns and seven taxon rows.</t>
  </si>
  <si>
    <t xml:space="preserve">Both tables retain identifiable data rows and columns. Table 2 has malformed header markup, assessed separately below.</t>
  </si>
  <si>
    <t xml:space="preserve">Table 1 retains five columns and seven data rows; Table 2 retains six columns and seven taxon rows. Blank cells are preserved.</t>
  </si>
  <si>
    <t xml:space="preserve">Both HTML tables retain identifiable rows and columns, including blank cells in Table 1.</t>
  </si>
  <si>
    <t xml:space="preserve">Table 2 merges taxon names and three abundance values into one cell, and both contribution values into another. Table 1 is missing.</t>
  </si>
  <si>
    <t xml:space="preserve">Table 2 only: “Average abundance” correctly groups three annual columns; “Contribution to differences” groups two comparison columns. Table 1 has no nested headers.</t>
  </si>
  <si>
    <t xml:space="preserve">Table 2 only: “Average abundance” correctly requires three subordinate columns, while “Contribution to differences” requires two. Nougat declares three for both and adds an extra empty header cell. Table 1 has no nested headers.</t>
  </si>
  <si>
    <t xml:space="preserve">Table 2 only: “Average abundance” spans three year columns; “Contribution to differences” spans two comparison columns. Table 1 has flat headers.</t>
  </si>
  <si>
    <t xml:space="preserve">Table 2: “Average abundance” spans three year columns; “Contrib. to differences” spans two comparison columns. Table 1 has flat headers.</t>
  </si>
  <si>
    <t xml:space="preserve">Table 2’s grouped headings survive as text, but the three year columns and two comparison columns are not separately preserved.</t>
  </si>
  <si>
    <t xml:space="preserve">53/58 (91.4%)</t>
  </si>
  <si>
    <t xml:space="preserve">Both tables; nonblank data entries only. Table 1: 18/23, with five inequality expressions corrupted (&lt; → \). Table 2: 35/35. Thousands separators normalized; inequality signs must match.</t>
  </si>
  <si>
    <t xml:space="preserve">58/58 (100%)</t>
  </si>
  <si>
    <t xml:space="preserve">Both tables checked: 23/23 nonblank numerical entries in Table 1 and 35/35 in Table 2. Thousands separators and LaTeX inequality formatting normalized; inequality signs retained.</t>
  </si>
  <si>
    <t xml:space="preserve">Both tables: 23/23 nonblank numerical entries in Table 1 and 35/35 in Table 2. Inequalities and decimal values retained.</t>
  </si>
  <si>
    <t xml:space="preserve">Both tables: 23 numerical entries in Table 1 and 35 in Table 2. Includes inequality expressions; blank cells excluded.</t>
  </si>
  <si>
    <t xml:space="preserve">35/35 (100%)</t>
  </si>
  <si>
    <t xml:space="preserve">Table 2 only: seven taxa × five values. Values are correctly transcribed, although multiple values share cells.</t>
  </si>
  <si>
    <t xml:space="preserve">Table 2 only. All numerical entries remain associated with the correct taxon and column, including abundance per alga and contribution percentages.</t>
  </si>
  <si>
    <t xml:space="preserve">25/35 (71.4%)</t>
  </si>
  <si>
    <t xml:space="preserve">Table 2 only; manually interpreted column order. Five cells in each of two rows fail exact taxon identification: T. fluviatilis → T. fluvialis and M. trossulus → M. rossulus. Remaining five taxon rows retain identifiable context. This does not establish correct automated header association.</t>
  </si>
  <si>
    <t xml:space="preserve">Table 2 only. All seven taxon labels, three abundance-year columns, two comparison columns and units are retained. This score does not cover Table 1, where interaction signs in “Y × A” and “Y × P” are missing.</t>
  </si>
  <si>
    <t xml:space="preserve">30/35 (85.7%)</t>
  </si>
  <si>
    <t xml:space="preserve">Table 2 only; strict taxon-label matching. Five entries occur under the corrupted label “T. flaviatilis”, instead of “T. fluviatilis”. The other six taxa retain their column context.</t>
  </si>
  <si>
    <t xml:space="preserve">Taxon labels and value sequences survive, but recovering individual year/comparison associations requires splitting merged cells.</t>
  </si>
  <si>
    <t xml:space="preserve">Figures 1–5 in the HTML retain their recognizable panels. Publisher logos are excluded. Does not measure exact recovery of plot labels or values.</t>
  </si>
  <si>
    <t xml:space="preserve">No figure images or image links appear in the supplied MMD.</t>
  </si>
  <si>
    <t xml:space="preserve">Five image references appear in the HTML, but the referenced PNG crops were not attached. Their presence and completeness cannot be verified.</t>
  </si>
  <si>
    <t xml:space="preserve">Two image links represent Figure 1’s panels, but their image files were not supplied. No visual-preservation percentage can be verified.</t>
  </si>
  <si>
    <t xml:space="preserve">Two table captions and five figure captions are present. Figure 4’s caption is split; Table 2’s caption is separated from its table. Coverage does not imply intact caption placement.</t>
  </si>
  <si>
    <t xml:space="preserve">Both table captions and all five figure captions are present. Presence does not imply accuracy: Figure 4’s caption is truncated, and Table 2’s caption repeats “of R. harrisii”.</t>
  </si>
  <si>
    <t xml:space="preserve">Both table captions and numbered Figure captions 2–5 retained. Figure 1’s descriptive caption text is present, but its number/label is missing; excluded under the numbered-caption criterion.</t>
  </si>
  <si>
    <t xml:space="preserve">5/7 (71.4%)</t>
  </si>
  <si>
    <t xml:space="preserve">All five figure captions are present. Table 1 and Table 2 captions are absent.</t>
  </si>
  <si>
    <t xml:space="preserve">Table 2’s caption is retained inside the candidate’s first column. Table 1’s caption is absent.</t>
  </si>
  <si>
    <t xml:space="preserve">All numbered objects can be manually matched to their captions, including the separated Table 2 caption. Does not assess structured caption links.</t>
  </si>
  <si>
    <t xml:space="preserve">Both table captions are identifiable with their extracted tables. Figures excluded because their images are absent.</t>
  </si>
  <si>
    <t xml:space="preserve">Both table captions can be associated with their extracted tables. Figure associations excluded because the image crops are unavailable.</t>
  </si>
  <si>
    <t xml:space="preserve">Tables only: neither table retains its caption. Figures excluded because image assets were not supplied.</t>
  </si>
  <si>
    <t xml:space="preserve">Table 2’s caption can be associated manually with its content. Table 1 is absent.</t>
  </si>
  <si>
    <t xml:space="preserve">Figure images are retained, but no structured plotted-value dataset was supplied.</t>
  </si>
  <si>
    <t xml:space="preserve">No structured plotted-value dataset supplied. Caption numbers do not demonstrate extraction of plotted values.</t>
  </si>
  <si>
    <t xml:space="preserve">Chart-label OCR is present, but no validated dataset linking values to plotted series is supplied.</t>
  </si>
  <si>
    <t xml:space="preserve">The supplied HTML/TXT exports do not provide the structured original-page and bounding-box mappings required for this assessment.</t>
  </si>
  <si>
    <t xml:space="preserve">Structured source-page and bounding-box mappings are absent from the supplied MMD.</t>
  </si>
  <si>
    <t xml:space="preserve">No structured page or bounding-box mappings supplied.</t>
  </si>
  <si>
    <t xml:space="preserve">Correct source-page label retained for Table 2; bounding-box JSON not supplied.</t>
  </si>
  <si>
    <t xml:space="preserve">Requires the execution log or summary for this specific output.</t>
  </si>
  <si>
    <t xml:space="preserve">Requires this run’s execution log or summary.json.</t>
  </si>
  <si>
    <t xml:space="preserve">No web-run timing record supplied.</t>
  </si>
  <si>
    <t xml:space="preserve">No timing summary supplied.</t>
  </si>
  <si>
    <t xml:space="preserve">337/341 (98.8%)</t>
  </si>
  <si>
    <t xml:space="preserve">Abstract only; lowercase, punctuation excluded, line-break hyphenation removed and ligatures normalized. Four reference tokens fail exact alignment because units are joined or split: 459.52 mL → 459.52mL; 0.04 m2 → 0.04m 2. These are tokenization differences rather than missing abstract content.</t>
  </si>
  <si>
    <t xml:space="preserve">0/341 (0%)</t>
  </si>
  <si>
    <t xml:space="preserve">Abstract only; the entire abstract is absent. The MMD begins with the Introduction. Reference tokens counted after case, punctuation, ligature and source line-break hyphenation normalization.</t>
  </si>
  <si>
    <t xml:space="preserve">330/341 (96.8%)</t>
  </si>
  <si>
    <t xml:space="preserve">Abstract only; case and Unicode normalized, punctuation excluded, source line-break hyphenation removed. Errors include “pollution” → “pollutior” and fragmented words such as “inventory”.</t>
  </si>
  <si>
    <t xml:space="preserve">332/341 (97.4%)</t>
  </si>
  <si>
    <t xml:space="preserve">Abstract only; Unicode and case normalized, punctuation excluded, source line-break hyphenation removed. Errors include “cryptogenic” → “cryptogam” and replacement of the crab’s scientific name.</t>
  </si>
  <si>
    <t xml:space="preserve">Tables 1, 2 and 3 appear in the export.</t>
  </si>
  <si>
    <t xml:space="preserve">Detection does not establish accuracy.</t>
  </si>
  <si>
    <t xml:space="preserve">Tabula notes for this article are offset from the dimension labels in the source sheet; read them as a set, not row by row.</t>
  </si>
  <si>
    <t xml:space="preserve">3/11 (27.3%)</t>
  </si>
  <si>
    <t xml:space="preserve">All three tables and eight figures. Table 1 and Figures 3 and 8 pass. A consecutive run containing Figure 4, Table 2, Figure 5, Table 3 and Figure 6 splits “…has been reported … in French ports…”. Each numbered object within that interrupted sentence is counted as a failure. Figures 1, 2 and 7 also interrupt sentences.</t>
  </si>
  <si>
    <t xml:space="preserve">Three table insertions, including the Table 2 fragment, and six retained figure-caption insertions checked. Only Figure 1 occurs between complete body passages. Missing Figures 3–4 excluded.</t>
  </si>
  <si>
    <t xml:space="preserve">Reading-order problems are evident: introductory text precedes the title and headings; page 7 contains displaced sentence fragments. A complete insertion-by-insertion count has not been established.</t>
  </si>
  <si>
    <t xml:space="preserve">Figure 2 interrupts “without removing … tubes or shells”. Figure 4 and subsequent objects separate displaced Results fragments. A complete insertion count has not been established.</t>
  </si>
  <si>
    <t xml:space="preserve">Three candidates are actual tables; five contain body text.</t>
  </si>
  <si>
    <t xml:space="preserve">False candidates require removal.</t>
  </si>
  <si>
    <t xml:space="preserve">3/3 (100%)</t>
  </si>
  <si>
    <t xml:space="preserve">All three numbered tables appear. Coverage does not imply correct structure.</t>
  </si>
  <si>
    <t xml:space="preserve">3/3 (100%) — presence only</t>
  </si>
  <si>
    <t xml:space="preserve">Tables 1 and 3 are present; Table 2 survives only as a header and short, malformed fragment. Coverage does not imply completeness.</t>
  </si>
  <si>
    <t xml:space="preserve">Content from Tables 1–3 is present. Tables 1–2 are HTML tables; Table 3 is plain OCR text. Coverage does not imply correct structure.</t>
  </si>
  <si>
    <t xml:space="preserve">Tables 1–3 are present. This measures presence, not completeness or correctness.</t>
  </si>
  <si>
    <t xml:space="preserve">Numerical columns remain separate, but Tables 1 and 2 split wrapped cells into extra rows.</t>
  </si>
  <si>
    <t xml:space="preserve">Rows require reconstruction.</t>
  </si>
  <si>
    <t xml:space="preserve">2/3 (66.7%)</t>
  </si>
  <si>
    <t xml:space="preserve">Tables 1 and 3 retain identifiable numerical grids. Table 2 fails: multiple species and summary rows are merged or scattered. Table 3 retains six numerical rows, but its first two row labels are damaged.</t>
  </si>
  <si>
    <t xml:space="preserve">1/3 (33.3%)</t>
  </si>
  <si>
    <t xml:space="preserve">Table 1 retains interpretable data rows and columns. Table 2 is truncated. Table 3 omits the blank diagonal cells, shifting values into incorrect column positions.</t>
  </si>
  <si>
    <t xml:space="preserve">Tables 1–2 retain explicit rows and columns, with alignment errors. Table 3 loses its matrix layout and blank diagonal cells.</t>
  </si>
  <si>
    <t xml:space="preserve">All three have explicit HTML rows and columns. However, Tables 1–2 have malformed cell alignment, and Table 3 incorrectly fills its diagonal.</t>
  </si>
  <si>
    <t xml:space="preserve">Basin codes and numerical headings remain visible.</t>
  </si>
  <si>
    <t xml:space="preserve">Some headings are split across rows.</t>
  </si>
  <si>
    <t xml:space="preserve">The tables use single-level column headings rather than nested column-header hierarchies. Table 2’s category and summary-row structure is addressed under basic structure.</t>
  </si>
  <si>
    <t xml:space="preserve">Source tables have no nested column-header hierarchy. Table 3’s row–column alignment failure is assessed under basic structure.</t>
  </si>
  <si>
    <t xml:space="preserve">The source tables do not contain nested column-header hierarchies comparable to those in your earlier benchmark.</t>
  </si>
  <si>
    <t xml:space="preserve">Source tables have flat column headings. Incorrect column associations are addressed separately.</t>
  </si>
  <si>
    <t xml:space="preserve">All 30 off-diagonal similarity values match the source.</t>
  </si>
  <si>
    <t xml:space="preserve">This score applies only to Table 3.</t>
  </si>
  <si>
    <t xml:space="preserve">Table 3 only: all 30 off-diagonal similarity values match. This score excludes row-label correctness and formatting used to distinguish the two community subsets. It does not represent Table 2.</t>
  </si>
  <si>
    <t xml:space="preserve">29/30 (96.7%)</t>
  </si>
  <si>
    <t xml:space="preserve">Table 3 only; numerical transcription assessed in row sequence, independently of column alignment. The OUI–CJB value 87.50becomes 57.05.</t>
  </si>
  <si>
    <t xml:space="preserve">Table 3 only; all 30 similarity values are retained in row sequence. This measures numerical transcription, not correct matrix-cell placement.</t>
  </si>
  <si>
    <t xml:space="preserve">2/30 (6.7%)</t>
  </si>
  <si>
    <t xml:space="preserve">Table 3 only; row–column matching required. Correct cells: CJB–CAR (80.00) and CIPB–CJB (88.89). All six originally blank diagonal cells are incorrectly populated.</t>
  </si>
  <si>
    <t xml:space="preserve">Both salinity measurements for all 12 basins remain associated with the correct basin.</t>
  </si>
  <si>
    <t xml:space="preserve">Caption information identifying uncertainty as SEM is absent.</t>
  </si>
  <si>
    <t xml:space="preserve">24/24 (100%)</t>
  </si>
  <si>
    <t xml:space="preserve">Table 1 sample: 12 salinity cells, each containing first- and second-record mean ± SEM, plus 12 pH cells containing mean ± SEM. Geographic coordinates, population and capacity cells excluded.</t>
  </si>
  <si>
    <t xml:space="preserve">14/24 (58.3%)</t>
  </si>
  <si>
    <t xml:space="preserve">Table 1’s two salinity measurements across 12 basins. Exact basin codes required: CHOP, CHCH, CIPB, DMOB and DMB are corrupted, affecting ten cells. CHCH’s second salinity value also changes 30.03 → 0.03. PSU, measurement periods and ±SEM remain identifiable.</t>
  </si>
  <si>
    <t xml:space="preserve">Table 1 has displaced basin descriptors and detached Honfleur values. Mean and SEM numbers survive, but ± signs are lost. A verified cell-by-cell context score is not available.</t>
  </si>
  <si>
    <t xml:space="preserve">4/24 (16.7%)</t>
  </si>
  <si>
    <t xml:space="preserve">Table 1 salinity only: 12 basins × 2 measurements. CHOP and HON retain both correct salinity records under their basin labels. Other records are displaced or lack the correct basin association.</t>
  </si>
  <si>
    <t xml:space="preserve">Values and basin pairs survive.</t>
  </si>
  <si>
    <t xml:space="preserve">Bold/italic distinctions identifying the two comparison groups are lost.</t>
  </si>
  <si>
    <t xml:space="preserve">8/8 (100%)</t>
  </si>
  <si>
    <t xml:space="preserve">All numbered figures retain their recognizable panels in the HTML, including six photographic panels in Figure 2 and three maps in Figure 8. Publisher graphics excluded.</t>
  </si>
  <si>
    <t xml:space="preserve">0/8 (0%)</t>
  </si>
  <si>
    <t xml:space="preserve">HTML references 8 figure crops, but their image files were not supplied. Links alone cannot establish visual preservation.</t>
  </si>
  <si>
    <t xml:space="preserve">No figure images or image links occur in the supplied pasted output. Captions alone do not preserve figures.</t>
  </si>
  <si>
    <t xml:space="preserve">None of the three complete numbered captions accompanies its extracted table.</t>
  </si>
  <si>
    <t xml:space="preserve">Context must be restored from the PDF.</t>
  </si>
  <si>
    <t xml:space="preserve">11/11 (100%)</t>
  </si>
  <si>
    <t xml:space="preserve">Three table captions and eight figure captions are present. Measures caption presence, not exact wording or placement.</t>
  </si>
  <si>
    <t xml:space="preserve">8/11 (72.7%)</t>
  </si>
  <si>
    <t xml:space="preserve">Table captions 1 and 3 and Figure captions 1, 2, 5, 6, 7 and 8 retained. Table 2 and Figure 3–4 captions absent. This measures presence, not caption accuracy.</t>
  </si>
  <si>
    <t xml:space="preserve">9/11 (81.8%)</t>
  </si>
  <si>
    <t xml:space="preserve">Captions for Tables 1–3 and Figures 1, 3–8 are identifiable. Figure 2’s caption is absent; Figure 5’s label is damaged to “ig.5”. Some retained captions are incomplete.</t>
  </si>
  <si>
    <t xml:space="preserve">Three table captions and Figures 1, 2, 4–7 retained. Figure 3 and Figure 8 captions absent.</t>
  </si>
  <si>
    <t xml:space="preserve">Species names and status columns are extracted.</t>
  </si>
  <si>
    <t xml:space="preserve">Wrapped names and status descriptions occupy extra rows.</t>
  </si>
  <si>
    <t xml:space="preserve">All numbered objects can be manually associated with their captions. Does not assess machine-readable caption links.</t>
  </si>
  <si>
    <t xml:space="preserve">Retained captions for Tables 1 and 3 can be identified with their table blocks. Table 2 has no retained caption; figures excluded because images are absent.</t>
  </si>
  <si>
    <t xml:space="preserve">Tables only; their captions can be associated manually with the corresponding content. Figures excluded because the crop files are unavailable.</t>
  </si>
  <si>
    <t xml:space="preserve">Tables only; their numbered captions remain identifiable. Figures excluded because their images are absent.</t>
  </si>
  <si>
    <t xml:space="preserve">This assessment concerns table extraction.</t>
  </si>
  <si>
    <t xml:space="preserve">Body-text candidates are not evidence of successful article extraction.</t>
  </si>
  <si>
    <t xml:space="preserve">Embedded figure images are retained, but no structured plotted-value dataset was supplied.</t>
  </si>
  <si>
    <t xml:space="preserve">OCR contains plot labels and ticks, but no verified dataset of recovered plotted values.</t>
  </si>
  <si>
    <t xml:space="preserve">No completed timing summary was supplied.</t>
  </si>
  <si>
    <t xml:space="preserve">Cannot calculate runtime or seconds per page.</t>
  </si>
  <si>
    <t xml:space="preserve">The HTML/TXT exports do not supply the structured source mappings required for this measurement.</t>
  </si>
  <si>
    <t xml:space="preserve">No structured source-page and bounding-box mappings supplied.</t>
  </si>
  <si>
    <t xml:space="preserve">Source-page markers exist, but bounding-box mappings were not supplied for validation.</t>
  </si>
  <si>
    <t xml:space="preserve">No structured source mappings supplied.</t>
  </si>
  <si>
    <t xml:space="preserve">Requires the execution log or summary for this specific run.</t>
  </si>
  <si>
    <t xml:space="preserve">No execution log or timing summary supplied for this run.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</si>
</sst>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6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8" min="4" style="0" width="20"/>
  </cols>
  <sheetData>
    <row r="1" customFormat="false" ht="31.5" hidden="false" customHeight="true" outlineLevel="0" collapsed="false">
      <c r="A1" s="5" t="s">
        <v>12</v>
      </c>
      <c r="B1" s="5"/>
      <c r="C1" s="5"/>
      <c r="D1" s="5"/>
      <c r="E1" s="5"/>
      <c r="F1" s="5"/>
      <c r="G1" s="5"/>
    </row>
    <row r="3" customFormat="false" ht="15" hidden="false" customHeight="false" outlineLevel="0" collapsed="false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</row>
    <row r="4" customFormat="false" ht="23.85" hidden="false" customHeight="false" outlineLevel="0" collapsed="false">
      <c r="A4" s="7" t="s">
        <v>21</v>
      </c>
      <c r="B4" s="8" t="s">
        <v>22</v>
      </c>
      <c r="C4" s="7" t="s">
        <v>23</v>
      </c>
      <c r="D4" s="7" t="str">
        <f aca="false">IF(COUNTIFS('S3.1 Per-article counts'!$A$2:$A$48,$B4,'S3.1 Per-article counts'!$C$2:$C$48,"NS")&gt;0,"Not supported",IF(SUMIFS('S3.1 Per-article counts'!$D$2:$D$48,'S3.1 Per-article counts'!$A$2:$A$48,$B4)=0,"Not scored",SUMIFS('S3.1 Per-article counts'!$C$2:$C$48,'S3.1 Per-article counts'!$A$2:$A$48,$B4)&amp;"/"&amp;SUMIFS('S3.1 Per-article counts'!$D$2:$D$48,'S3.1 Per-article counts'!$A$2:$A$48,$B4)&amp;" ("&amp;TEXT(SUMIFS('S3.1 Per-article counts'!$C$2:$C$48,'S3.1 Per-article counts'!$A$2:$A$48,$B4)/SUMIFS('S3.1 Per-article counts'!$D$2:$D$48,'S3.1 Per-article counts'!$A$2:$A$48,$B4),"0.0%")&amp;")"&amp;IF(COUNTIFS('S3.1 Per-article counts'!$A$2:$A$48,$B4,'S3.1 Per-article counts'!$D$2:$D$48,"&gt;0")&lt;5,"  [k="&amp;COUNTIFS('S3.1 Per-article counts'!$A$2:$A$48,$B4,'S3.1 Per-article counts'!$D$2:$D$48,"&gt;0")&amp;"/5]","")))</f>
        <v>1261/1265 (99.7%)</v>
      </c>
      <c r="E4" s="7" t="str">
        <f aca="false">IF(COUNTIFS('S3.1 Per-article counts'!$A$2:$A$48,$B4,'S3.1 Per-article counts'!$E$2:$E$48,"NS")&gt;0,"Not supported",IF(SUMIFS('S3.1 Per-article counts'!$F$2:$F$48,'S3.1 Per-article counts'!$A$2:$A$48,$B4)=0,"Not scored",SUMIFS('S3.1 Per-article counts'!$E$2:$E$48,'S3.1 Per-article counts'!$A$2:$A$48,$B4)&amp;"/"&amp;SUMIFS('S3.1 Per-article counts'!$F$2:$F$48,'S3.1 Per-article counts'!$A$2:$A$48,$B4)&amp;" ("&amp;TEXT(SUMIFS('S3.1 Per-article counts'!$E$2:$E$48,'S3.1 Per-article counts'!$A$2:$A$48,$B4)/SUMIFS('S3.1 Per-article counts'!$F$2:$F$48,'S3.1 Per-article counts'!$A$2:$A$48,$B4),"0.0%")&amp;")"&amp;IF(COUNTIFS('S3.1 Per-article counts'!$A$2:$A$48,$B4,'S3.1 Per-article counts'!$F$2:$F$48,"&gt;0")&lt;5,"  [k="&amp;COUNTIFS('S3.1 Per-article counts'!$A$2:$A$48,$B4,'S3.1 Per-article counts'!$F$2:$F$48,"&gt;0")&amp;"/5]","")))</f>
        <v>683/1265 (54.0%)</v>
      </c>
      <c r="F4" s="7" t="str">
        <f aca="false">IF(COUNTIFS('S3.1 Per-article counts'!$A$2:$A$48,$B4,'S3.1 Per-article counts'!$G$2:$G$48,"NS")&gt;0,"Not supported",IF(SUMIFS('S3.1 Per-article counts'!$H$2:$H$48,'S3.1 Per-article counts'!$A$2:$A$48,$B4)=0,"Not scored",SUMIFS('S3.1 Per-article counts'!$G$2:$G$48,'S3.1 Per-article counts'!$A$2:$A$48,$B4)&amp;"/"&amp;SUMIFS('S3.1 Per-article counts'!$H$2:$H$48,'S3.1 Per-article counts'!$A$2:$A$48,$B4)&amp;" ("&amp;TEXT(SUMIFS('S3.1 Per-article counts'!$G$2:$G$48,'S3.1 Per-article counts'!$A$2:$A$48,$B4)/SUMIFS('S3.1 Per-article counts'!$H$2:$H$48,'S3.1 Per-article counts'!$A$2:$A$48,$B4),"0.0%")&amp;")"&amp;IF(COUNTIFS('S3.1 Per-article counts'!$A$2:$A$48,$B4,'S3.1 Per-article counts'!$H$2:$H$48,"&gt;0")&lt;5,"  [k="&amp;COUNTIFS('S3.1 Per-article counts'!$A$2:$A$48,$B4,'S3.1 Per-article counts'!$H$2:$H$48,"&gt;0")&amp;"/5]","")))</f>
        <v>1221/1265 (96.5%)</v>
      </c>
      <c r="G4" s="7" t="str">
        <f aca="false">IF(COUNTIFS('S3.1 Per-article counts'!$A$2:$A$48,$B4,'S3.1 Per-article counts'!$I$2:$I$48,"NS")&gt;0,"Not supported",IF(SUMIFS('S3.1 Per-article counts'!$J$2:$J$48,'S3.1 Per-article counts'!$A$2:$A$48,$B4)=0,"Not scored",SUMIFS('S3.1 Per-article counts'!$I$2:$I$48,'S3.1 Per-article counts'!$A$2:$A$48,$B4)&amp;"/"&amp;SUMIFS('S3.1 Per-article counts'!$J$2:$J$48,'S3.1 Per-article counts'!$A$2:$A$48,$B4)&amp;" ("&amp;TEXT(SUMIFS('S3.1 Per-article counts'!$I$2:$I$48,'S3.1 Per-article counts'!$A$2:$A$48,$B4)/SUMIFS('S3.1 Per-article counts'!$J$2:$J$48,'S3.1 Per-article counts'!$A$2:$A$48,$B4),"0.0%")&amp;")"&amp;IF(COUNTIFS('S3.1 Per-article counts'!$A$2:$A$48,$B4,'S3.1 Per-article counts'!$J$2:$J$48,"&gt;0")&lt;5,"  [k="&amp;COUNTIFS('S3.1 Per-article counts'!$A$2:$A$48,$B4,'S3.1 Per-article counts'!$J$2:$J$48,"&gt;0")&amp;"/5]","")))</f>
        <v>1068/1078 (99.1%)  [k=4/5]</v>
      </c>
      <c r="H4" s="7" t="str">
        <f aca="false">IF(COUNTIFS('S3.1 Per-article counts'!$A$2:$A$48,$B4,'S3.1 Per-article counts'!$K$2:$K$48,"NS")&gt;0,"Not supported",IF(SUMIFS('S3.1 Per-article counts'!$L$2:$L$48,'S3.1 Per-article counts'!$A$2:$A$48,$B4)=0,"Not scored",SUMIFS('S3.1 Per-article counts'!$K$2:$K$48,'S3.1 Per-article counts'!$A$2:$A$48,$B4)&amp;"/"&amp;SUMIFS('S3.1 Per-article counts'!$L$2:$L$48,'S3.1 Per-article counts'!$A$2:$A$48,$B4)&amp;" ("&amp;TEXT(SUMIFS('S3.1 Per-article counts'!$K$2:$K$48,'S3.1 Per-article counts'!$A$2:$A$48,$B4)/SUMIFS('S3.1 Per-article counts'!$L$2:$L$48,'S3.1 Per-article counts'!$A$2:$A$48,$B4),"0.0%")&amp;")"&amp;IF(COUNTIFS('S3.1 Per-article counts'!$A$2:$A$48,$B4,'S3.1 Per-article counts'!$L$2:$L$48,"&gt;0")&lt;5,"  [k="&amp;COUNTIFS('S3.1 Per-article counts'!$A$2:$A$48,$B4,'S3.1 Per-article counts'!$L$2:$L$48,"&gt;0")&amp;"/5]","")))</f>
        <v>Not supported</v>
      </c>
    </row>
    <row r="5" customFormat="false" ht="35.05" hidden="false" customHeight="false" outlineLevel="0" collapsed="false">
      <c r="A5" s="7" t="s">
        <v>21</v>
      </c>
      <c r="B5" s="8" t="s">
        <v>24</v>
      </c>
      <c r="C5" s="7" t="s">
        <v>25</v>
      </c>
      <c r="D5" s="7" t="str">
        <f aca="false">IF(COUNTIFS('S3.1 Per-article counts'!$A$2:$A$48,$B5,'S3.1 Per-article counts'!$C$2:$C$48,"NS")&gt;0,"Not supported",IF(SUMIFS('S3.1 Per-article counts'!$D$2:$D$48,'S3.1 Per-article counts'!$A$2:$A$48,$B5)=0,"Not scored",SUMIFS('S3.1 Per-article counts'!$C$2:$C$48,'S3.1 Per-article counts'!$A$2:$A$48,$B5)&amp;"/"&amp;SUMIFS('S3.1 Per-article counts'!$D$2:$D$48,'S3.1 Per-article counts'!$A$2:$A$48,$B5)&amp;" ("&amp;TEXT(SUMIFS('S3.1 Per-article counts'!$C$2:$C$48,'S3.1 Per-article counts'!$A$2:$A$48,$B5)/SUMIFS('S3.1 Per-article counts'!$D$2:$D$48,'S3.1 Per-article counts'!$A$2:$A$48,$B5),"0.0%")&amp;")"&amp;IF(COUNTIFS('S3.1 Per-article counts'!$A$2:$A$48,$B5,'S3.1 Per-article counts'!$D$2:$D$48,"&gt;0")&lt;5,"  [k="&amp;COUNTIFS('S3.1 Per-article counts'!$A$2:$A$48,$B5,'S3.1 Per-article counts'!$D$2:$D$48,"&gt;0")&amp;"/5]","")))</f>
        <v>25/44 (56.8%)</v>
      </c>
      <c r="E5" s="7" t="str">
        <f aca="false">IF(COUNTIFS('S3.1 Per-article counts'!$A$2:$A$48,$B5,'S3.1 Per-article counts'!$E$2:$E$48,"NS")&gt;0,"Not supported",IF(SUMIFS('S3.1 Per-article counts'!$F$2:$F$48,'S3.1 Per-article counts'!$A$2:$A$48,$B5)=0,"Not scored",SUMIFS('S3.1 Per-article counts'!$E$2:$E$48,'S3.1 Per-article counts'!$A$2:$A$48,$B5)&amp;"/"&amp;SUMIFS('S3.1 Per-article counts'!$F$2:$F$48,'S3.1 Per-article counts'!$A$2:$A$48,$B5)&amp;" ("&amp;TEXT(SUMIFS('S3.1 Per-article counts'!$E$2:$E$48,'S3.1 Per-article counts'!$A$2:$A$48,$B5)/SUMIFS('S3.1 Per-article counts'!$F$2:$F$48,'S3.1 Per-article counts'!$A$2:$A$48,$B5),"0.0%")&amp;")"&amp;IF(COUNTIFS('S3.1 Per-article counts'!$A$2:$A$48,$B5,'S3.1 Per-article counts'!$F$2:$F$48,"&gt;0")&lt;5,"  [k="&amp;COUNTIFS('S3.1 Per-article counts'!$A$2:$A$48,$B5,'S3.1 Per-article counts'!$F$2:$F$48,"&gt;0")&amp;"/5]","")))</f>
        <v>5/44 (11.4%)</v>
      </c>
      <c r="F5" s="7" t="str">
        <f aca="false">IF(COUNTIFS('S3.1 Per-article counts'!$A$2:$A$48,$B5,'S3.1 Per-article counts'!$G$2:$G$48,"NS")&gt;0,"Not supported",IF(SUMIFS('S3.1 Per-article counts'!$H$2:$H$48,'S3.1 Per-article counts'!$A$2:$A$48,$B5)=0,"Not scored",SUMIFS('S3.1 Per-article counts'!$G$2:$G$48,'S3.1 Per-article counts'!$A$2:$A$48,$B5)&amp;"/"&amp;SUMIFS('S3.1 Per-article counts'!$H$2:$H$48,'S3.1 Per-article counts'!$A$2:$A$48,$B5)&amp;" ("&amp;TEXT(SUMIFS('S3.1 Per-article counts'!$G$2:$G$48,'S3.1 Per-article counts'!$A$2:$A$48,$B5)/SUMIFS('S3.1 Per-article counts'!$H$2:$H$48,'S3.1 Per-article counts'!$A$2:$A$48,$B5),"0.0%")&amp;")"&amp;IF(COUNTIFS('S3.1 Per-article counts'!$A$2:$A$48,$B5,'S3.1 Per-article counts'!$H$2:$H$48,"&gt;0")&lt;5,"  [k="&amp;COUNTIFS('S3.1 Per-article counts'!$A$2:$A$48,$B5,'S3.1 Per-article counts'!$H$2:$H$48,"&gt;0")&amp;"/5]","")))</f>
        <v>Not scored</v>
      </c>
      <c r="G5" s="7" t="str">
        <f aca="false">IF(COUNTIFS('S3.1 Per-article counts'!$A$2:$A$48,$B5,'S3.1 Per-article counts'!$I$2:$I$48,"NS")&gt;0,"Not supported",IF(SUMIFS('S3.1 Per-article counts'!$J$2:$J$48,'S3.1 Per-article counts'!$A$2:$A$48,$B5)=0,"Not scored",SUMIFS('S3.1 Per-article counts'!$I$2:$I$48,'S3.1 Per-article counts'!$A$2:$A$48,$B5)&amp;"/"&amp;SUMIFS('S3.1 Per-article counts'!$J$2:$J$48,'S3.1 Per-article counts'!$A$2:$A$48,$B5)&amp;" ("&amp;TEXT(SUMIFS('S3.1 Per-article counts'!$I$2:$I$48,'S3.1 Per-article counts'!$A$2:$A$48,$B5)/SUMIFS('S3.1 Per-article counts'!$J$2:$J$48,'S3.1 Per-article counts'!$A$2:$A$48,$B5),"0.0%")&amp;")"&amp;IF(COUNTIFS('S3.1 Per-article counts'!$A$2:$A$48,$B5,'S3.1 Per-article counts'!$J$2:$J$48,"&gt;0")&lt;5,"  [k="&amp;COUNTIFS('S3.1 Per-article counts'!$A$2:$A$48,$B5,'S3.1 Per-article counts'!$J$2:$J$48,"&gt;0")&amp;"/5]","")))</f>
        <v>5/17 (29.4%)  [k=2/5]</v>
      </c>
      <c r="H5" s="7" t="str">
        <f aca="false">IF(COUNTIFS('S3.1 Per-article counts'!$A$2:$A$48,$B5,'S3.1 Per-article counts'!$K$2:$K$48,"NS")&gt;0,"Not supported",IF(SUMIFS('S3.1 Per-article counts'!$L$2:$L$48,'S3.1 Per-article counts'!$A$2:$A$48,$B5)=0,"Not scored",SUMIFS('S3.1 Per-article counts'!$K$2:$K$48,'S3.1 Per-article counts'!$A$2:$A$48,$B5)&amp;"/"&amp;SUMIFS('S3.1 Per-article counts'!$L$2:$L$48,'S3.1 Per-article counts'!$A$2:$A$48,$B5)&amp;" ("&amp;TEXT(SUMIFS('S3.1 Per-article counts'!$K$2:$K$48,'S3.1 Per-article counts'!$A$2:$A$48,$B5)/SUMIFS('S3.1 Per-article counts'!$L$2:$L$48,'S3.1 Per-article counts'!$A$2:$A$48,$B5),"0.0%")&amp;")"&amp;IF(COUNTIFS('S3.1 Per-article counts'!$A$2:$A$48,$B5,'S3.1 Per-article counts'!$L$2:$L$48,"&gt;0")&lt;5,"  [k="&amp;COUNTIFS('S3.1 Per-article counts'!$A$2:$A$48,$B5,'S3.1 Per-article counts'!$L$2:$L$48,"&gt;0")&amp;"/5]","")))</f>
        <v>Not supported</v>
      </c>
    </row>
    <row r="6" customFormat="false" ht="23.85" hidden="false" customHeight="false" outlineLevel="0" collapsed="false">
      <c r="A6" s="9" t="s">
        <v>26</v>
      </c>
      <c r="B6" s="10" t="s">
        <v>27</v>
      </c>
      <c r="C6" s="9" t="s">
        <v>28</v>
      </c>
      <c r="D6" s="9" t="str">
        <f aca="false">IF(COUNTIFS('S3.1 Per-article counts'!$A$2:$A$48,$B6,'S3.1 Per-article counts'!$C$2:$C$48,"NS")&gt;0,"Not supported",IF(SUMIFS('S3.1 Per-article counts'!$D$2:$D$48,'S3.1 Per-article counts'!$A$2:$A$48,$B6)=0,"Not scored",SUMIFS('S3.1 Per-article counts'!$C$2:$C$48,'S3.1 Per-article counts'!$A$2:$A$48,$B6)&amp;"/"&amp;SUMIFS('S3.1 Per-article counts'!$D$2:$D$48,'S3.1 Per-article counts'!$A$2:$A$48,$B6)&amp;" ("&amp;TEXT(SUMIFS('S3.1 Per-article counts'!$C$2:$C$48,'S3.1 Per-article counts'!$A$2:$A$48,$B6)/SUMIFS('S3.1 Per-article counts'!$D$2:$D$48,'S3.1 Per-article counts'!$A$2:$A$48,$B6),"0.0%")&amp;")"&amp;IF(COUNTIFS('S3.1 Per-article counts'!$A$2:$A$48,$B6,'S3.1 Per-article counts'!$D$2:$D$48,"&gt;0")&lt;5,"  [k="&amp;COUNTIFS('S3.1 Per-article counts'!$A$2:$A$48,$B6,'S3.1 Per-article counts'!$D$2:$D$48,"&gt;0")&amp;"/5]","")))</f>
        <v>12/12 (100.0%)</v>
      </c>
      <c r="E6" s="9" t="str">
        <f aca="false">IF(COUNTIFS('S3.1 Per-article counts'!$A$2:$A$48,$B6,'S3.1 Per-article counts'!$E$2:$E$48,"NS")&gt;0,"Not supported",IF(SUMIFS('S3.1 Per-article counts'!$F$2:$F$48,'S3.1 Per-article counts'!$A$2:$A$48,$B6)=0,"Not scored",SUMIFS('S3.1 Per-article counts'!$E$2:$E$48,'S3.1 Per-article counts'!$A$2:$A$48,$B6)&amp;"/"&amp;SUMIFS('S3.1 Per-article counts'!$F$2:$F$48,'S3.1 Per-article counts'!$A$2:$A$48,$B6)&amp;" ("&amp;TEXT(SUMIFS('S3.1 Per-article counts'!$E$2:$E$48,'S3.1 Per-article counts'!$A$2:$A$48,$B6)/SUMIFS('S3.1 Per-article counts'!$F$2:$F$48,'S3.1 Per-article counts'!$A$2:$A$48,$B6),"0.0%")&amp;")"&amp;IF(COUNTIFS('S3.1 Per-article counts'!$A$2:$A$48,$B6,'S3.1 Per-article counts'!$F$2:$F$48,"&gt;0")&lt;5,"  [k="&amp;COUNTIFS('S3.1 Per-article counts'!$A$2:$A$48,$B6,'S3.1 Per-article counts'!$F$2:$F$48,"&gt;0")&amp;"/5]","")))</f>
        <v>11/12 (91.7%)</v>
      </c>
      <c r="F6" s="9" t="str">
        <f aca="false">IF(COUNTIFS('S3.1 Per-article counts'!$A$2:$A$48,$B6,'S3.1 Per-article counts'!$G$2:$G$48,"NS")&gt;0,"Not supported",IF(SUMIFS('S3.1 Per-article counts'!$H$2:$H$48,'S3.1 Per-article counts'!$A$2:$A$48,$B6)=0,"Not scored",SUMIFS('S3.1 Per-article counts'!$G$2:$G$48,'S3.1 Per-article counts'!$A$2:$A$48,$B6)&amp;"/"&amp;SUMIFS('S3.1 Per-article counts'!$H$2:$H$48,'S3.1 Per-article counts'!$A$2:$A$48,$B6)&amp;" ("&amp;TEXT(SUMIFS('S3.1 Per-article counts'!$G$2:$G$48,'S3.1 Per-article counts'!$A$2:$A$48,$B6)/SUMIFS('S3.1 Per-article counts'!$H$2:$H$48,'S3.1 Per-article counts'!$A$2:$A$48,$B6),"0.0%")&amp;")"&amp;IF(COUNTIFS('S3.1 Per-article counts'!$A$2:$A$48,$B6,'S3.1 Per-article counts'!$H$2:$H$48,"&gt;0")&lt;5,"  [k="&amp;COUNTIFS('S3.1 Per-article counts'!$A$2:$A$48,$B6,'S3.1 Per-article counts'!$H$2:$H$48,"&gt;0")&amp;"/5]","")))</f>
        <v>12/12 (100.0%)</v>
      </c>
      <c r="G6" s="9" t="str">
        <f aca="false">IF(COUNTIFS('S3.1 Per-article counts'!$A$2:$A$48,$B6,'S3.1 Per-article counts'!$I$2:$I$48,"NS")&gt;0,"Not supported",IF(SUMIFS('S3.1 Per-article counts'!$J$2:$J$48,'S3.1 Per-article counts'!$A$2:$A$48,$B6)=0,"Not scored",SUMIFS('S3.1 Per-article counts'!$I$2:$I$48,'S3.1 Per-article counts'!$A$2:$A$48,$B6)&amp;"/"&amp;SUMIFS('S3.1 Per-article counts'!$J$2:$J$48,'S3.1 Per-article counts'!$A$2:$A$48,$B6)&amp;" ("&amp;TEXT(SUMIFS('S3.1 Per-article counts'!$I$2:$I$48,'S3.1 Per-article counts'!$A$2:$A$48,$B6)/SUMIFS('S3.1 Per-article counts'!$J$2:$J$48,'S3.1 Per-article counts'!$A$2:$A$48,$B6),"0.0%")&amp;")"&amp;IF(COUNTIFS('S3.1 Per-article counts'!$A$2:$A$48,$B6,'S3.1 Per-article counts'!$J$2:$J$48,"&gt;0")&lt;5,"  [k="&amp;COUNTIFS('S3.1 Per-article counts'!$A$2:$A$48,$B6,'S3.1 Per-article counts'!$J$2:$J$48,"&gt;0")&amp;"/5]","")))</f>
        <v>8/10 (80.0%)  [k=4/5]</v>
      </c>
      <c r="H6" s="9" t="str">
        <f aca="false">IF(COUNTIFS('S3.1 Per-article counts'!$A$2:$A$48,$B6,'S3.1 Per-article counts'!$K$2:$K$48,"NS")&gt;0,"Not supported",IF(SUMIFS('S3.1 Per-article counts'!$L$2:$L$48,'S3.1 Per-article counts'!$A$2:$A$48,$B6)=0,"Not scored",SUMIFS('S3.1 Per-article counts'!$K$2:$K$48,'S3.1 Per-article counts'!$A$2:$A$48,$B6)&amp;"/"&amp;SUMIFS('S3.1 Per-article counts'!$L$2:$L$48,'S3.1 Per-article counts'!$A$2:$A$48,$B6)&amp;" ("&amp;TEXT(SUMIFS('S3.1 Per-article counts'!$K$2:$K$48,'S3.1 Per-article counts'!$A$2:$A$48,$B6)/SUMIFS('S3.1 Per-article counts'!$L$2:$L$48,'S3.1 Per-article counts'!$A$2:$A$48,$B6),"0.0%")&amp;")"&amp;IF(COUNTIFS('S3.1 Per-article counts'!$A$2:$A$48,$B6,'S3.1 Per-article counts'!$L$2:$L$48,"&gt;0")&lt;5,"  [k="&amp;COUNTIFS('S3.1 Per-article counts'!$A$2:$A$48,$B6,'S3.1 Per-article counts'!$L$2:$L$48,"&gt;0")&amp;"/5]","")))</f>
        <v>10/12 (83.3%)</v>
      </c>
    </row>
    <row r="7" customFormat="false" ht="23.85" hidden="false" customHeight="false" outlineLevel="0" collapsed="false">
      <c r="A7" s="9" t="s">
        <v>26</v>
      </c>
      <c r="B7" s="10" t="s">
        <v>29</v>
      </c>
      <c r="C7" s="9" t="s">
        <v>30</v>
      </c>
      <c r="D7" s="9" t="str">
        <f aca="false">IF(COUNTIFS('S3.1 Per-article counts'!$A$2:$A$48,$B7,'S3.1 Per-article counts'!$C$2:$C$48,"NS")&gt;0,"Not supported",IF(SUMIFS('S3.1 Per-article counts'!$D$2:$D$48,'S3.1 Per-article counts'!$A$2:$A$48,$B7)=0,"Not scored",SUMIFS('S3.1 Per-article counts'!$C$2:$C$48,'S3.1 Per-article counts'!$A$2:$A$48,$B7)&amp;"/"&amp;SUMIFS('S3.1 Per-article counts'!$D$2:$D$48,'S3.1 Per-article counts'!$A$2:$A$48,$B7)&amp;" ("&amp;TEXT(SUMIFS('S3.1 Per-article counts'!$C$2:$C$48,'S3.1 Per-article counts'!$A$2:$A$48,$B7)/SUMIFS('S3.1 Per-article counts'!$D$2:$D$48,'S3.1 Per-article counts'!$A$2:$A$48,$B7),"0.0%")&amp;")"&amp;IF(COUNTIFS('S3.1 Per-article counts'!$A$2:$A$48,$B7,'S3.1 Per-article counts'!$D$2:$D$48,"&gt;0")&lt;5,"  [k="&amp;COUNTIFS('S3.1 Per-article counts'!$A$2:$A$48,$B7,'S3.1 Per-article counts'!$D$2:$D$48,"&gt;0")&amp;"/5]","")))</f>
        <v>10/12 (83.3%)</v>
      </c>
      <c r="E7" s="9" t="str">
        <f aca="false">IF(COUNTIFS('S3.1 Per-article counts'!$A$2:$A$48,$B7,'S3.1 Per-article counts'!$E$2:$E$48,"NS")&gt;0,"Not supported",IF(SUMIFS('S3.1 Per-article counts'!$F$2:$F$48,'S3.1 Per-article counts'!$A$2:$A$48,$B7)=0,"Not scored",SUMIFS('S3.1 Per-article counts'!$E$2:$E$48,'S3.1 Per-article counts'!$A$2:$A$48,$B7)&amp;"/"&amp;SUMIFS('S3.1 Per-article counts'!$F$2:$F$48,'S3.1 Per-article counts'!$A$2:$A$48,$B7)&amp;" ("&amp;TEXT(SUMIFS('S3.1 Per-article counts'!$E$2:$E$48,'S3.1 Per-article counts'!$A$2:$A$48,$B7)/SUMIFS('S3.1 Per-article counts'!$F$2:$F$48,'S3.1 Per-article counts'!$A$2:$A$48,$B7),"0.0%")&amp;")"&amp;IF(COUNTIFS('S3.1 Per-article counts'!$A$2:$A$48,$B7,'S3.1 Per-article counts'!$F$2:$F$48,"&gt;0")&lt;5,"  [k="&amp;COUNTIFS('S3.1 Per-article counts'!$A$2:$A$48,$B7,'S3.1 Per-article counts'!$F$2:$F$48,"&gt;0")&amp;"/5]","")))</f>
        <v>7/12 (58.3%)</v>
      </c>
      <c r="F7" s="9" t="str">
        <f aca="false">IF(COUNTIFS('S3.1 Per-article counts'!$A$2:$A$48,$B7,'S3.1 Per-article counts'!$G$2:$G$48,"NS")&gt;0,"Not supported",IF(SUMIFS('S3.1 Per-article counts'!$H$2:$H$48,'S3.1 Per-article counts'!$A$2:$A$48,$B7)=0,"Not scored",SUMIFS('S3.1 Per-article counts'!$G$2:$G$48,'S3.1 Per-article counts'!$A$2:$A$48,$B7)&amp;"/"&amp;SUMIFS('S3.1 Per-article counts'!$H$2:$H$48,'S3.1 Per-article counts'!$A$2:$A$48,$B7)&amp;" ("&amp;TEXT(SUMIFS('S3.1 Per-article counts'!$G$2:$G$48,'S3.1 Per-article counts'!$A$2:$A$48,$B7)/SUMIFS('S3.1 Per-article counts'!$H$2:$H$48,'S3.1 Per-article counts'!$A$2:$A$48,$B7),"0.0%")&amp;")"&amp;IF(COUNTIFS('S3.1 Per-article counts'!$A$2:$A$48,$B7,'S3.1 Per-article counts'!$H$2:$H$48,"&gt;0")&lt;5,"  [k="&amp;COUNTIFS('S3.1 Per-article counts'!$A$2:$A$48,$B7,'S3.1 Per-article counts'!$H$2:$H$48,"&gt;0")&amp;"/5]","")))</f>
        <v>9/12 (75.0%)</v>
      </c>
      <c r="G7" s="9" t="str">
        <f aca="false">IF(COUNTIFS('S3.1 Per-article counts'!$A$2:$A$48,$B7,'S3.1 Per-article counts'!$I$2:$I$48,"NS")&gt;0,"Not supported",IF(SUMIFS('S3.1 Per-article counts'!$J$2:$J$48,'S3.1 Per-article counts'!$A$2:$A$48,$B7)=0,"Not scored",SUMIFS('S3.1 Per-article counts'!$I$2:$I$48,'S3.1 Per-article counts'!$A$2:$A$48,$B7)&amp;"/"&amp;SUMIFS('S3.1 Per-article counts'!$J$2:$J$48,'S3.1 Per-article counts'!$A$2:$A$48,$B7)&amp;" ("&amp;TEXT(SUMIFS('S3.1 Per-article counts'!$I$2:$I$48,'S3.1 Per-article counts'!$A$2:$A$48,$B7)/SUMIFS('S3.1 Per-article counts'!$J$2:$J$48,'S3.1 Per-article counts'!$A$2:$A$48,$B7),"0.0%")&amp;")"&amp;IF(COUNTIFS('S3.1 Per-article counts'!$A$2:$A$48,$B7,'S3.1 Per-article counts'!$J$2:$J$48,"&gt;0")&lt;5,"  [k="&amp;COUNTIFS('S3.1 Per-article counts'!$A$2:$A$48,$B7,'S3.1 Per-article counts'!$J$2:$J$48,"&gt;0")&amp;"/5]","")))</f>
        <v>7/10 (70.0%)  [k=4/5]</v>
      </c>
      <c r="H7" s="9" t="str">
        <f aca="false">IF(COUNTIFS('S3.1 Per-article counts'!$A$2:$A$48,$B7,'S3.1 Per-article counts'!$K$2:$K$48,"NS")&gt;0,"Not supported",IF(SUMIFS('S3.1 Per-article counts'!$L$2:$L$48,'S3.1 Per-article counts'!$A$2:$A$48,$B7)=0,"Not scored",SUMIFS('S3.1 Per-article counts'!$K$2:$K$48,'S3.1 Per-article counts'!$A$2:$A$48,$B7)&amp;"/"&amp;SUMIFS('S3.1 Per-article counts'!$L$2:$L$48,'S3.1 Per-article counts'!$A$2:$A$48,$B7)&amp;" ("&amp;TEXT(SUMIFS('S3.1 Per-article counts'!$K$2:$K$48,'S3.1 Per-article counts'!$A$2:$A$48,$B7)/SUMIFS('S3.1 Per-article counts'!$L$2:$L$48,'S3.1 Per-article counts'!$A$2:$A$48,$B7),"0.0%")&amp;")"&amp;IF(COUNTIFS('S3.1 Per-article counts'!$A$2:$A$48,$B7,'S3.1 Per-article counts'!$L$2:$L$48,"&gt;0")&lt;5,"  [k="&amp;COUNTIFS('S3.1 Per-article counts'!$A$2:$A$48,$B7,'S3.1 Per-article counts'!$L$2:$L$48,"&gt;0")&amp;"/5]","")))</f>
        <v>4/12 (33.3%)</v>
      </c>
    </row>
    <row r="8" customFormat="false" ht="35.05" hidden="false" customHeight="false" outlineLevel="0" collapsed="false">
      <c r="A8" s="9" t="s">
        <v>26</v>
      </c>
      <c r="B8" s="10" t="s">
        <v>31</v>
      </c>
      <c r="C8" s="9" t="s">
        <v>32</v>
      </c>
      <c r="D8" s="9" t="str">
        <f aca="false">IF(COUNTIFS('S3.1 Per-article counts'!$A$2:$A$48,$B8,'S3.1 Per-article counts'!$C$2:$C$48,"NS")&gt;0,"Not supported",IF(SUMIFS('S3.1 Per-article counts'!$D$2:$D$48,'S3.1 Per-article counts'!$A$2:$A$48,$B8)=0,"Not scored",SUMIFS('S3.1 Per-article counts'!$C$2:$C$48,'S3.1 Per-article counts'!$A$2:$A$48,$B8)&amp;"/"&amp;SUMIFS('S3.1 Per-article counts'!$D$2:$D$48,'S3.1 Per-article counts'!$A$2:$A$48,$B8)&amp;" ("&amp;TEXT(SUMIFS('S3.1 Per-article counts'!$C$2:$C$48,'S3.1 Per-article counts'!$A$2:$A$48,$B8)/SUMIFS('S3.1 Per-article counts'!$D$2:$D$48,'S3.1 Per-article counts'!$A$2:$A$48,$B8),"0.0%")&amp;")"&amp;IF(COUNTIFS('S3.1 Per-article counts'!$A$2:$A$48,$B8,'S3.1 Per-article counts'!$D$2:$D$48,"&gt;0")&lt;3,"  [k="&amp;COUNTIFS('S3.1 Per-article counts'!$A$2:$A$48,$B8,'S3.1 Per-article counts'!$D$2:$D$48,"&gt;0")&amp;"/3]","")))</f>
        <v>4/6 (66.7%)</v>
      </c>
      <c r="E8" s="9" t="str">
        <f aca="false">IF(COUNTIFS('S3.1 Per-article counts'!$A$2:$A$48,$B8,'S3.1 Per-article counts'!$E$2:$E$48,"NS")&gt;0,"Not supported",IF(SUMIFS('S3.1 Per-article counts'!$F$2:$F$48,'S3.1 Per-article counts'!$A$2:$A$48,$B8)=0,"Not scored",SUMIFS('S3.1 Per-article counts'!$E$2:$E$48,'S3.1 Per-article counts'!$A$2:$A$48,$B8)&amp;"/"&amp;SUMIFS('S3.1 Per-article counts'!$F$2:$F$48,'S3.1 Per-article counts'!$A$2:$A$48,$B8)&amp;" ("&amp;TEXT(SUMIFS('S3.1 Per-article counts'!$E$2:$E$48,'S3.1 Per-article counts'!$A$2:$A$48,$B8)/SUMIFS('S3.1 Per-article counts'!$F$2:$F$48,'S3.1 Per-article counts'!$A$2:$A$48,$B8),"0.0%")&amp;")"&amp;IF(COUNTIFS('S3.1 Per-article counts'!$A$2:$A$48,$B8,'S3.1 Per-article counts'!$F$2:$F$48,"&gt;0")&lt;3,"  [k="&amp;COUNTIFS('S3.1 Per-article counts'!$A$2:$A$48,$B8,'S3.1 Per-article counts'!$F$2:$F$48,"&gt;0")&amp;"/3]","")))</f>
        <v>2/6 (33.3%)</v>
      </c>
      <c r="F8" s="9" t="str">
        <f aca="false">IF(COUNTIFS('S3.1 Per-article counts'!$A$2:$A$48,$B8,'S3.1 Per-article counts'!$G$2:$G$48,"NS")&gt;0,"Not supported",IF(SUMIFS('S3.1 Per-article counts'!$H$2:$H$48,'S3.1 Per-article counts'!$A$2:$A$48,$B8)=0,"Not scored",SUMIFS('S3.1 Per-article counts'!$G$2:$G$48,'S3.1 Per-article counts'!$A$2:$A$48,$B8)&amp;"/"&amp;SUMIFS('S3.1 Per-article counts'!$H$2:$H$48,'S3.1 Per-article counts'!$A$2:$A$48,$B8)&amp;" ("&amp;TEXT(SUMIFS('S3.1 Per-article counts'!$G$2:$G$48,'S3.1 Per-article counts'!$A$2:$A$48,$B8)/SUMIFS('S3.1 Per-article counts'!$H$2:$H$48,'S3.1 Per-article counts'!$A$2:$A$48,$B8),"0.0%")&amp;")"&amp;IF(COUNTIFS('S3.1 Per-article counts'!$A$2:$A$48,$B8,'S3.1 Per-article counts'!$H$2:$H$48,"&gt;0")&lt;3,"  [k="&amp;COUNTIFS('S3.1 Per-article counts'!$A$2:$A$48,$B8,'S3.1 Per-article counts'!$H$2:$H$48,"&gt;0")&amp;"/3]","")))</f>
        <v>3/6 (50.0%)</v>
      </c>
      <c r="G8" s="9" t="str">
        <f aca="false">IF(COUNTIFS('S3.1 Per-article counts'!$A$2:$A$48,$B8,'S3.1 Per-article counts'!$I$2:$I$48,"NS")&gt;0,"Not supported",IF(SUMIFS('S3.1 Per-article counts'!$J$2:$J$48,'S3.1 Per-article counts'!$A$2:$A$48,$B8)=0,"Not scored",SUMIFS('S3.1 Per-article counts'!$I$2:$I$48,'S3.1 Per-article counts'!$A$2:$A$48,$B8)&amp;"/"&amp;SUMIFS('S3.1 Per-article counts'!$J$2:$J$48,'S3.1 Per-article counts'!$A$2:$A$48,$B8)&amp;" ("&amp;TEXT(SUMIFS('S3.1 Per-article counts'!$I$2:$I$48,'S3.1 Per-article counts'!$A$2:$A$48,$B8)/SUMIFS('S3.1 Per-article counts'!$J$2:$J$48,'S3.1 Per-article counts'!$A$2:$A$48,$B8),"0.0%")&amp;")"&amp;IF(COUNTIFS('S3.1 Per-article counts'!$A$2:$A$48,$B8,'S3.1 Per-article counts'!$J$2:$J$48,"&gt;0")&lt;3,"  [k="&amp;COUNTIFS('S3.1 Per-article counts'!$A$2:$A$48,$B8,'S3.1 Per-article counts'!$J$2:$J$48,"&gt;0")&amp;"/3]","")))</f>
        <v>3/5 (60.0%)  [k=2/3]</v>
      </c>
      <c r="H8" s="9" t="str">
        <f aca="false">IF(COUNTIFS('S3.1 Per-article counts'!$A$2:$A$48,$B8,'S3.1 Per-article counts'!$K$2:$K$48,"NS")&gt;0,"Not supported",IF(SUMIFS('S3.1 Per-article counts'!$L$2:$L$48,'S3.1 Per-article counts'!$A$2:$A$48,$B8)=0,"Not scored",SUMIFS('S3.1 Per-article counts'!$K$2:$K$48,'S3.1 Per-article counts'!$A$2:$A$48,$B8)&amp;"/"&amp;SUMIFS('S3.1 Per-article counts'!$L$2:$L$48,'S3.1 Per-article counts'!$A$2:$A$48,$B8)&amp;" ("&amp;TEXT(SUMIFS('S3.1 Per-article counts'!$K$2:$K$48,'S3.1 Per-article counts'!$A$2:$A$48,$B8)/SUMIFS('S3.1 Per-article counts'!$L$2:$L$48,'S3.1 Per-article counts'!$A$2:$A$48,$B8),"0.0%")&amp;")"&amp;IF(COUNTIFS('S3.1 Per-article counts'!$A$2:$A$48,$B8,'S3.1 Per-article counts'!$L$2:$L$48,"&gt;0")&lt;3,"  [k="&amp;COUNTIFS('S3.1 Per-article counts'!$A$2:$A$48,$B8,'S3.1 Per-article counts'!$L$2:$L$48,"&gt;0")&amp;"/3]","")))</f>
        <v>0/6 (0.0%)</v>
      </c>
    </row>
    <row r="9" customFormat="false" ht="23.85" hidden="false" customHeight="false" outlineLevel="0" collapsed="false">
      <c r="A9" s="9" t="s">
        <v>26</v>
      </c>
      <c r="B9" s="10" t="s">
        <v>33</v>
      </c>
      <c r="C9" s="9" t="s">
        <v>34</v>
      </c>
      <c r="D9" s="9" t="str">
        <f aca="false">IF(COUNTIFS('S3.1 Per-article counts'!$A$2:$A$48,$B9,'S3.1 Per-article counts'!$C$2:$C$48,"NS")&gt;0,"Not supported",IF(SUMIFS('S3.1 Per-article counts'!$D$2:$D$48,'S3.1 Per-article counts'!$A$2:$A$48,$B9)=0,"Not scored",SUMIFS('S3.1 Per-article counts'!$C$2:$C$48,'S3.1 Per-article counts'!$A$2:$A$48,$B9)&amp;"/"&amp;SUMIFS('S3.1 Per-article counts'!$D$2:$D$48,'S3.1 Per-article counts'!$A$2:$A$48,$B9)&amp;" ("&amp;TEXT(SUMIFS('S3.1 Per-article counts'!$C$2:$C$48,'S3.1 Per-article counts'!$A$2:$A$48,$B9)/SUMIFS('S3.1 Per-article counts'!$D$2:$D$48,'S3.1 Per-article counts'!$A$2:$A$48,$B9),"0.0%")&amp;")"&amp;IF(COUNTIFS('S3.1 Per-article counts'!$A$2:$A$48,$B9,'S3.1 Per-article counts'!$D$2:$D$48,"&gt;0")&lt;5,"  [k="&amp;COUNTIFS('S3.1 Per-article counts'!$A$2:$A$48,$B9,'S3.1 Per-article counts'!$D$2:$D$48,"&gt;0")&amp;"/5]","")))</f>
        <v>297/312 (95.2%)</v>
      </c>
      <c r="E9" s="9" t="str">
        <f aca="false">IF(COUNTIFS('S3.1 Per-article counts'!$A$2:$A$48,$B9,'S3.1 Per-article counts'!$E$2:$E$48,"NS")&gt;0,"Not supported",IF(SUMIFS('S3.1 Per-article counts'!$F$2:$F$48,'S3.1 Per-article counts'!$A$2:$A$48,$B9)=0,"Not scored",SUMIFS('S3.1 Per-article counts'!$E$2:$E$48,'S3.1 Per-article counts'!$A$2:$A$48,$B9)&amp;"/"&amp;SUMIFS('S3.1 Per-article counts'!$F$2:$F$48,'S3.1 Per-article counts'!$A$2:$A$48,$B9)&amp;" ("&amp;TEXT(SUMIFS('S3.1 Per-article counts'!$E$2:$E$48,'S3.1 Per-article counts'!$A$2:$A$48,$B9)/SUMIFS('S3.1 Per-article counts'!$F$2:$F$48,'S3.1 Per-article counts'!$A$2:$A$48,$B9),"0.0%")&amp;")"&amp;IF(COUNTIFS('S3.1 Per-article counts'!$A$2:$A$48,$B9,'S3.1 Per-article counts'!$F$2:$F$48,"&gt;0")&lt;5,"  [k="&amp;COUNTIFS('S3.1 Per-article counts'!$A$2:$A$48,$B9,'S3.1 Per-article counts'!$F$2:$F$48,"&gt;0")&amp;"/5]","")))</f>
        <v>279/312 (89.4%)</v>
      </c>
      <c r="F9" s="9" t="str">
        <f aca="false">IF(COUNTIFS('S3.1 Per-article counts'!$A$2:$A$48,$B9,'S3.1 Per-article counts'!$G$2:$G$48,"NS")&gt;0,"Not supported",IF(SUMIFS('S3.1 Per-article counts'!$H$2:$H$48,'S3.1 Per-article counts'!$A$2:$A$48,$B9)=0,"Not scored",SUMIFS('S3.1 Per-article counts'!$G$2:$G$48,'S3.1 Per-article counts'!$A$2:$A$48,$B9)&amp;"/"&amp;SUMIFS('S3.1 Per-article counts'!$H$2:$H$48,'S3.1 Per-article counts'!$A$2:$A$48,$B9)&amp;" ("&amp;TEXT(SUMIFS('S3.1 Per-article counts'!$G$2:$G$48,'S3.1 Per-article counts'!$A$2:$A$48,$B9)/SUMIFS('S3.1 Per-article counts'!$H$2:$H$48,'S3.1 Per-article counts'!$A$2:$A$48,$B9),"0.0%")&amp;")"&amp;IF(COUNTIFS('S3.1 Per-article counts'!$A$2:$A$48,$B9,'S3.1 Per-article counts'!$H$2:$H$48,"&gt;0")&lt;5,"  [k="&amp;COUNTIFS('S3.1 Per-article counts'!$A$2:$A$48,$B9,'S3.1 Per-article counts'!$H$2:$H$48,"&gt;0")&amp;"/5]","")))</f>
        <v>312/312 (100.0%)</v>
      </c>
      <c r="G9" s="9" t="str">
        <f aca="false">IF(COUNTIFS('S3.1 Per-article counts'!$A$2:$A$48,$B9,'S3.1 Per-article counts'!$I$2:$I$48,"NS")&gt;0,"Not supported",IF(SUMIFS('S3.1 Per-article counts'!$J$2:$J$48,'S3.1 Per-article counts'!$A$2:$A$48,$B9)=0,"Not scored",SUMIFS('S3.1 Per-article counts'!$I$2:$I$48,'S3.1 Per-article counts'!$A$2:$A$48,$B9)&amp;"/"&amp;SUMIFS('S3.1 Per-article counts'!$J$2:$J$48,'S3.1 Per-article counts'!$A$2:$A$48,$B9)&amp;" ("&amp;TEXT(SUMIFS('S3.1 Per-article counts'!$I$2:$I$48,'S3.1 Per-article counts'!$A$2:$A$48,$B9)/SUMIFS('S3.1 Per-article counts'!$J$2:$J$48,'S3.1 Per-article counts'!$A$2:$A$48,$B9),"0.0%")&amp;")"&amp;IF(COUNTIFS('S3.1 Per-article counts'!$A$2:$A$48,$B9,'S3.1 Per-article counts'!$J$2:$J$48,"&gt;0")&lt;5,"  [k="&amp;COUNTIFS('S3.1 Per-article counts'!$A$2:$A$48,$B9,'S3.1 Per-article counts'!$J$2:$J$48,"&gt;0")&amp;"/5]","")))</f>
        <v>141/252 (56.0%)  [k=3/5]</v>
      </c>
      <c r="H9" s="9" t="str">
        <f aca="false">IF(COUNTIFS('S3.1 Per-article counts'!$A$2:$A$48,$B9,'S3.1 Per-article counts'!$K$2:$K$48,"NS")&gt;0,"Not supported",IF(SUMIFS('S3.1 Per-article counts'!$L$2:$L$48,'S3.1 Per-article counts'!$A$2:$A$48,$B9)=0,"Not scored",SUMIFS('S3.1 Per-article counts'!$K$2:$K$48,'S3.1 Per-article counts'!$A$2:$A$48,$B9)&amp;"/"&amp;SUMIFS('S3.1 Per-article counts'!$L$2:$L$48,'S3.1 Per-article counts'!$A$2:$A$48,$B9)&amp;" ("&amp;TEXT(SUMIFS('S3.1 Per-article counts'!$K$2:$K$48,'S3.1 Per-article counts'!$A$2:$A$48,$B9)/SUMIFS('S3.1 Per-article counts'!$L$2:$L$48,'S3.1 Per-article counts'!$A$2:$A$48,$B9),"0.0%")&amp;")"&amp;IF(COUNTIFS('S3.1 Per-article counts'!$A$2:$A$48,$B9,'S3.1 Per-article counts'!$L$2:$L$48,"&gt;0")&lt;5,"  [k="&amp;COUNTIFS('S3.1 Per-article counts'!$A$2:$A$48,$B9,'S3.1 Per-article counts'!$L$2:$L$48,"&gt;0")&amp;"/5]","")))</f>
        <v>280/312 (89.7%)</v>
      </c>
    </row>
    <row r="10" customFormat="false" ht="35.05" hidden="false" customHeight="false" outlineLevel="0" collapsed="false">
      <c r="A10" s="9" t="s">
        <v>26</v>
      </c>
      <c r="B10" s="10" t="s">
        <v>35</v>
      </c>
      <c r="C10" s="9" t="s">
        <v>36</v>
      </c>
      <c r="D10" s="9" t="str">
        <f aca="false">IF(COUNTIFS('S3.1 Per-article counts'!$A$2:$A$48,$B10,'S3.1 Per-article counts'!$C$2:$C$48,"NS")&gt;0,"Not supported",IF(SUMIFS('S3.1 Per-article counts'!$D$2:$D$48,'S3.1 Per-article counts'!$A$2:$A$48,$B10)=0,"Not scored",SUMIFS('S3.1 Per-article counts'!$C$2:$C$48,'S3.1 Per-article counts'!$A$2:$A$48,$B10)&amp;"/"&amp;SUMIFS('S3.1 Per-article counts'!$D$2:$D$48,'S3.1 Per-article counts'!$A$2:$A$48,$B10)&amp;" ("&amp;TEXT(SUMIFS('S3.1 Per-article counts'!$C$2:$C$48,'S3.1 Per-article counts'!$A$2:$A$48,$B10)/SUMIFS('S3.1 Per-article counts'!$D$2:$D$48,'S3.1 Per-article counts'!$A$2:$A$48,$B10),"0.0%")&amp;")"&amp;IF(COUNTIFS('S3.1 Per-article counts'!$A$2:$A$48,$B10,'S3.1 Per-article counts'!$D$2:$D$48,"&gt;0")&lt;4,"  [k="&amp;COUNTIFS('S3.1 Per-article counts'!$A$2:$A$48,$B10,'S3.1 Per-article counts'!$D$2:$D$48,"&gt;0")&amp;"/4]","")))</f>
        <v>164/164 (100.0%)</v>
      </c>
      <c r="E10" s="9" t="str">
        <f aca="false">IF(COUNTIFS('S3.1 Per-article counts'!$A$2:$A$48,$B10,'S3.1 Per-article counts'!$E$2:$E$48,"NS")&gt;0,"Not supported",IF(SUMIFS('S3.1 Per-article counts'!$F$2:$F$48,'S3.1 Per-article counts'!$A$2:$A$48,$B10)=0,"Not scored",SUMIFS('S3.1 Per-article counts'!$E$2:$E$48,'S3.1 Per-article counts'!$A$2:$A$48,$B10)&amp;"/"&amp;SUMIFS('S3.1 Per-article counts'!$F$2:$F$48,'S3.1 Per-article counts'!$A$2:$A$48,$B10)&amp;" ("&amp;TEXT(SUMIFS('S3.1 Per-article counts'!$E$2:$E$48,'S3.1 Per-article counts'!$A$2:$A$48,$B10)/SUMIFS('S3.1 Per-article counts'!$F$2:$F$48,'S3.1 Per-article counts'!$A$2:$A$48,$B10),"0.0%")&amp;")"&amp;IF(COUNTIFS('S3.1 Per-article counts'!$A$2:$A$48,$B10,'S3.1 Per-article counts'!$F$2:$F$48,"&gt;0")&lt;4,"  [k="&amp;COUNTIFS('S3.1 Per-article counts'!$A$2:$A$48,$B10,'S3.1 Per-article counts'!$F$2:$F$48,"&gt;0")&amp;"/4]","")))</f>
        <v>142/164 (86.6%)</v>
      </c>
      <c r="F10" s="9" t="str">
        <f aca="false">IF(COUNTIFS('S3.1 Per-article counts'!$A$2:$A$48,$B10,'S3.1 Per-article counts'!$G$2:$G$48,"NS")&gt;0,"Not supported",IF(SUMIFS('S3.1 Per-article counts'!$H$2:$H$48,'S3.1 Per-article counts'!$A$2:$A$48,$B10)=0,"Not scored",SUMIFS('S3.1 Per-article counts'!$G$2:$G$48,'S3.1 Per-article counts'!$A$2:$A$48,$B10)&amp;"/"&amp;SUMIFS('S3.1 Per-article counts'!$H$2:$H$48,'S3.1 Per-article counts'!$A$2:$A$48,$B10)&amp;" ("&amp;TEXT(SUMIFS('S3.1 Per-article counts'!$G$2:$G$48,'S3.1 Per-article counts'!$A$2:$A$48,$B10)/SUMIFS('S3.1 Per-article counts'!$H$2:$H$48,'S3.1 Per-article counts'!$A$2:$A$48,$B10),"0.0%")&amp;")"&amp;IF(COUNTIFS('S3.1 Per-article counts'!$A$2:$A$48,$B10,'S3.1 Per-article counts'!$H$2:$H$48,"&gt;0")&lt;4,"  [k="&amp;COUNTIFS('S3.1 Per-article counts'!$A$2:$A$48,$B10,'S3.1 Per-article counts'!$H$2:$H$48,"&gt;0")&amp;"/4]","")))</f>
        <v>72/140 (51.4%)  [k=3/4]</v>
      </c>
      <c r="G10" s="9" t="str">
        <f aca="false">IF(COUNTIFS('S3.1 Per-article counts'!$A$2:$A$48,$B10,'S3.1 Per-article counts'!$I$2:$I$48,"NS")&gt;0,"Not supported",IF(SUMIFS('S3.1 Per-article counts'!$J$2:$J$48,'S3.1 Per-article counts'!$A$2:$A$48,$B10)=0,"Not scored",SUMIFS('S3.1 Per-article counts'!$I$2:$I$48,'S3.1 Per-article counts'!$A$2:$A$48,$B10)&amp;"/"&amp;SUMIFS('S3.1 Per-article counts'!$J$2:$J$48,'S3.1 Per-article counts'!$A$2:$A$48,$B10)&amp;" ("&amp;TEXT(SUMIFS('S3.1 Per-article counts'!$I$2:$I$48,'S3.1 Per-article counts'!$A$2:$A$48,$B10)/SUMIFS('S3.1 Per-article counts'!$J$2:$J$48,'S3.1 Per-article counts'!$A$2:$A$48,$B10),"0.0%")&amp;")"&amp;IF(COUNTIFS('S3.1 Per-article counts'!$A$2:$A$48,$B10,'S3.1 Per-article counts'!$J$2:$J$48,"&gt;0")&lt;4,"  [k="&amp;COUNTIFS('S3.1 Per-article counts'!$A$2:$A$48,$B10,'S3.1 Per-article counts'!$J$2:$J$48,"&gt;0")&amp;"/4]","")))</f>
        <v>139/164 (84.8%)</v>
      </c>
      <c r="H10" s="9" t="str">
        <f aca="false">IF(COUNTIFS('S3.1 Per-article counts'!$A$2:$A$48,$B10,'S3.1 Per-article counts'!$K$2:$K$48,"NS")&gt;0,"Not supported",IF(SUMIFS('S3.1 Per-article counts'!$L$2:$L$48,'S3.1 Per-article counts'!$A$2:$A$48,$B10)=0,"Not scored",SUMIFS('S3.1 Per-article counts'!$K$2:$K$48,'S3.1 Per-article counts'!$A$2:$A$48,$B10)&amp;"/"&amp;SUMIFS('S3.1 Per-article counts'!$L$2:$L$48,'S3.1 Per-article counts'!$A$2:$A$48,$B10)&amp;" ("&amp;TEXT(SUMIFS('S3.1 Per-article counts'!$K$2:$K$48,'S3.1 Per-article counts'!$A$2:$A$48,$B10)/SUMIFS('S3.1 Per-article counts'!$L$2:$L$48,'S3.1 Per-article counts'!$A$2:$A$48,$B10),"0.0%")&amp;")"&amp;IF(COUNTIFS('S3.1 Per-article counts'!$A$2:$A$48,$B10,'S3.1 Per-article counts'!$L$2:$L$48,"&gt;0")&lt;4,"  [k="&amp;COUNTIFS('S3.1 Per-article counts'!$A$2:$A$48,$B10,'S3.1 Per-article counts'!$L$2:$L$48,"&gt;0")&amp;"/4]","")))</f>
        <v>0/21 (0.0%)  [k=1/4]</v>
      </c>
    </row>
    <row r="11" customFormat="false" ht="23.85" hidden="false" customHeight="false" outlineLevel="0" collapsed="false">
      <c r="A11" s="7" t="s">
        <v>37</v>
      </c>
      <c r="B11" s="8" t="s">
        <v>38</v>
      </c>
      <c r="C11" s="7" t="s">
        <v>39</v>
      </c>
      <c r="D11" s="7" t="str">
        <f aca="false">IF(COUNTIFS('S3.1 Per-article counts'!$A$2:$A$48,$B11,'S3.1 Per-article counts'!$C$2:$C$48,"NS")&gt;0,"Not supported",IF(SUMIFS('S3.1 Per-article counts'!$D$2:$D$48,'S3.1 Per-article counts'!$A$2:$A$48,$B11)=0,"Not scored",SUMIFS('S3.1 Per-article counts'!$C$2:$C$48,'S3.1 Per-article counts'!$A$2:$A$48,$B11)&amp;"/"&amp;SUMIFS('S3.1 Per-article counts'!$D$2:$D$48,'S3.1 Per-article counts'!$A$2:$A$48,$B11)&amp;" ("&amp;TEXT(SUMIFS('S3.1 Per-article counts'!$C$2:$C$48,'S3.1 Per-article counts'!$A$2:$A$48,$B11)/SUMIFS('S3.1 Per-article counts'!$D$2:$D$48,'S3.1 Per-article counts'!$A$2:$A$48,$B11),"0.0%")&amp;")"&amp;IF(COUNTIFS('S3.1 Per-article counts'!$A$2:$A$48,$B11,'S3.1 Per-article counts'!$D$2:$D$48,"&gt;0")&lt;5,"  [k="&amp;COUNTIFS('S3.1 Per-article counts'!$A$2:$A$48,$B11,'S3.1 Per-article counts'!$D$2:$D$48,"&gt;0")&amp;"/5]","")))</f>
        <v>31/32 (96.9%)</v>
      </c>
      <c r="E11" s="7" t="str">
        <f aca="false">IF(COUNTIFS('S3.1 Per-article counts'!$A$2:$A$48,$B11,'S3.1 Per-article counts'!$E$2:$E$48,"NS")&gt;0,"Not supported",IF(SUMIFS('S3.1 Per-article counts'!$F$2:$F$48,'S3.1 Per-article counts'!$A$2:$A$48,$B11)=0,"Not scored",SUMIFS('S3.1 Per-article counts'!$E$2:$E$48,'S3.1 Per-article counts'!$A$2:$A$48,$B11)&amp;"/"&amp;SUMIFS('S3.1 Per-article counts'!$F$2:$F$48,'S3.1 Per-article counts'!$A$2:$A$48,$B11)&amp;" ("&amp;TEXT(SUMIFS('S3.1 Per-article counts'!$E$2:$E$48,'S3.1 Per-article counts'!$A$2:$A$48,$B11)/SUMIFS('S3.1 Per-article counts'!$F$2:$F$48,'S3.1 Per-article counts'!$A$2:$A$48,$B11),"0.0%")&amp;")"&amp;IF(COUNTIFS('S3.1 Per-article counts'!$A$2:$A$48,$B11,'S3.1 Per-article counts'!$F$2:$F$48,"&gt;0")&lt;5,"  [k="&amp;COUNTIFS('S3.1 Per-article counts'!$A$2:$A$48,$B11,'S3.1 Per-article counts'!$F$2:$F$48,"&gt;0")&amp;"/5]","")))</f>
        <v>Not supported</v>
      </c>
      <c r="F11" s="7" t="str">
        <f aca="false">IF(COUNTIFS('S3.1 Per-article counts'!$A$2:$A$48,$B11,'S3.1 Per-article counts'!$G$2:$G$48,"NS")&gt;0,"Not supported",IF(SUMIFS('S3.1 Per-article counts'!$H$2:$H$48,'S3.1 Per-article counts'!$A$2:$A$48,$B11)=0,"Not scored",SUMIFS('S3.1 Per-article counts'!$G$2:$G$48,'S3.1 Per-article counts'!$A$2:$A$48,$B11)&amp;"/"&amp;SUMIFS('S3.1 Per-article counts'!$H$2:$H$48,'S3.1 Per-article counts'!$A$2:$A$48,$B11)&amp;" ("&amp;TEXT(SUMIFS('S3.1 Per-article counts'!$G$2:$G$48,'S3.1 Per-article counts'!$A$2:$A$48,$B11)/SUMIFS('S3.1 Per-article counts'!$H$2:$H$48,'S3.1 Per-article counts'!$A$2:$A$48,$B11),"0.0%")&amp;")"&amp;IF(COUNTIFS('S3.1 Per-article counts'!$A$2:$A$48,$B11,'S3.1 Per-article counts'!$H$2:$H$48,"&gt;0")&lt;5,"  [k="&amp;COUNTIFS('S3.1 Per-article counts'!$A$2:$A$48,$B11,'S3.1 Per-article counts'!$H$2:$H$48,"&gt;0")&amp;"/5]","")))</f>
        <v>5/5 (100.0%)  [k=1/5]</v>
      </c>
      <c r="G11" s="7" t="str">
        <f aca="false">IF(COUNTIFS('S3.1 Per-article counts'!$A$2:$A$48,$B11,'S3.1 Per-article counts'!$I$2:$I$48,"NS")&gt;0,"Not supported",IF(SUMIFS('S3.1 Per-article counts'!$J$2:$J$48,'S3.1 Per-article counts'!$A$2:$A$48,$B11)=0,"Not scored",SUMIFS('S3.1 Per-article counts'!$I$2:$I$48,'S3.1 Per-article counts'!$A$2:$A$48,$B11)&amp;"/"&amp;SUMIFS('S3.1 Per-article counts'!$J$2:$J$48,'S3.1 Per-article counts'!$A$2:$A$48,$B11)&amp;" ("&amp;TEXT(SUMIFS('S3.1 Per-article counts'!$I$2:$I$48,'S3.1 Per-article counts'!$A$2:$A$48,$B11)/SUMIFS('S3.1 Per-article counts'!$J$2:$J$48,'S3.1 Per-article counts'!$A$2:$A$48,$B11),"0.0%")&amp;")"&amp;IF(COUNTIFS('S3.1 Per-article counts'!$A$2:$A$48,$B11,'S3.1 Per-article counts'!$J$2:$J$48,"&gt;0")&lt;5,"  [k="&amp;COUNTIFS('S3.1 Per-article counts'!$A$2:$A$48,$B11,'S3.1 Per-article counts'!$J$2:$J$48,"&gt;0")&amp;"/5]","")))</f>
        <v>Not supported</v>
      </c>
      <c r="H11" s="7" t="str">
        <f aca="false">IF(COUNTIFS('S3.1 Per-article counts'!$A$2:$A$48,$B11,'S3.1 Per-article counts'!$K$2:$K$48,"NS")&gt;0,"Not supported",IF(SUMIFS('S3.1 Per-article counts'!$L$2:$L$48,'S3.1 Per-article counts'!$A$2:$A$48,$B11)=0,"Not scored",SUMIFS('S3.1 Per-article counts'!$K$2:$K$48,'S3.1 Per-article counts'!$A$2:$A$48,$B11)&amp;"/"&amp;SUMIFS('S3.1 Per-article counts'!$L$2:$L$48,'S3.1 Per-article counts'!$A$2:$A$48,$B11)&amp;" ("&amp;TEXT(SUMIFS('S3.1 Per-article counts'!$K$2:$K$48,'S3.1 Per-article counts'!$A$2:$A$48,$B11)/SUMIFS('S3.1 Per-article counts'!$L$2:$L$48,'S3.1 Per-article counts'!$A$2:$A$48,$B11),"0.0%")&amp;")"&amp;IF(COUNTIFS('S3.1 Per-article counts'!$A$2:$A$48,$B11,'S3.1 Per-article counts'!$L$2:$L$48,"&gt;0")&lt;5,"  [k="&amp;COUNTIFS('S3.1 Per-article counts'!$A$2:$A$48,$B11,'S3.1 Per-article counts'!$L$2:$L$48,"&gt;0")&amp;"/5]","")))</f>
        <v>Not supported</v>
      </c>
    </row>
    <row r="12" customFormat="false" ht="23.85" hidden="false" customHeight="false" outlineLevel="0" collapsed="false">
      <c r="A12" s="7" t="s">
        <v>37</v>
      </c>
      <c r="B12" s="8" t="s">
        <v>40</v>
      </c>
      <c r="C12" s="7" t="s">
        <v>41</v>
      </c>
      <c r="D12" s="7" t="str">
        <f aca="false">IF(COUNTIFS('S3.1 Per-article counts'!$A$2:$A$48,$B12,'S3.1 Per-article counts'!$C$2:$C$48,"NS")&gt;0,"Not supported",IF(SUMIFS('S3.1 Per-article counts'!$D$2:$D$48,'S3.1 Per-article counts'!$A$2:$A$48,$B12)=0,"Not scored",SUMIFS('S3.1 Per-article counts'!$C$2:$C$48,'S3.1 Per-article counts'!$A$2:$A$48,$B12)&amp;"/"&amp;SUMIFS('S3.1 Per-article counts'!$D$2:$D$48,'S3.1 Per-article counts'!$A$2:$A$48,$B12)&amp;" ("&amp;TEXT(SUMIFS('S3.1 Per-article counts'!$C$2:$C$48,'S3.1 Per-article counts'!$A$2:$A$48,$B12)/SUMIFS('S3.1 Per-article counts'!$D$2:$D$48,'S3.1 Per-article counts'!$A$2:$A$48,$B12),"0.0%")&amp;")"&amp;IF(COUNTIFS('S3.1 Per-article counts'!$A$2:$A$48,$B12,'S3.1 Per-article counts'!$D$2:$D$48,"&gt;0")&lt;5,"  [k="&amp;COUNTIFS('S3.1 Per-article counts'!$A$2:$A$48,$B12,'S3.1 Per-article counts'!$D$2:$D$48,"&gt;0")&amp;"/5]","")))</f>
        <v>43/44 (97.7%)</v>
      </c>
      <c r="E12" s="7" t="str">
        <f aca="false">IF(COUNTIFS('S3.1 Per-article counts'!$A$2:$A$48,$B12,'S3.1 Per-article counts'!$E$2:$E$48,"NS")&gt;0,"Not supported",IF(SUMIFS('S3.1 Per-article counts'!$F$2:$F$48,'S3.1 Per-article counts'!$A$2:$A$48,$B12)=0,"Not scored",SUMIFS('S3.1 Per-article counts'!$E$2:$E$48,'S3.1 Per-article counts'!$A$2:$A$48,$B12)&amp;"/"&amp;SUMIFS('S3.1 Per-article counts'!$F$2:$F$48,'S3.1 Per-article counts'!$A$2:$A$48,$B12)&amp;" ("&amp;TEXT(SUMIFS('S3.1 Per-article counts'!$E$2:$E$48,'S3.1 Per-article counts'!$A$2:$A$48,$B12)/SUMIFS('S3.1 Per-article counts'!$F$2:$F$48,'S3.1 Per-article counts'!$A$2:$A$48,$B12),"0.0%")&amp;")"&amp;IF(COUNTIFS('S3.1 Per-article counts'!$A$2:$A$48,$B12,'S3.1 Per-article counts'!$F$2:$F$48,"&gt;0")&lt;5,"  [k="&amp;COUNTIFS('S3.1 Per-article counts'!$A$2:$A$48,$B12,'S3.1 Per-article counts'!$F$2:$F$48,"&gt;0")&amp;"/5]","")))</f>
        <v>33/44 (75.0%)</v>
      </c>
      <c r="F12" s="7" t="str">
        <f aca="false">IF(COUNTIFS('S3.1 Per-article counts'!$A$2:$A$48,$B12,'S3.1 Per-article counts'!$G$2:$G$48,"NS")&gt;0,"Not supported",IF(SUMIFS('S3.1 Per-article counts'!$H$2:$H$48,'S3.1 Per-article counts'!$A$2:$A$48,$B12)=0,"Not scored",SUMIFS('S3.1 Per-article counts'!$G$2:$G$48,'S3.1 Per-article counts'!$A$2:$A$48,$B12)&amp;"/"&amp;SUMIFS('S3.1 Per-article counts'!$H$2:$H$48,'S3.1 Per-article counts'!$A$2:$A$48,$B12)&amp;" ("&amp;TEXT(SUMIFS('S3.1 Per-article counts'!$G$2:$G$48,'S3.1 Per-article counts'!$A$2:$A$48,$B12)/SUMIFS('S3.1 Per-article counts'!$H$2:$H$48,'S3.1 Per-article counts'!$A$2:$A$48,$B12),"0.0%")&amp;")"&amp;IF(COUNTIFS('S3.1 Per-article counts'!$A$2:$A$48,$B12,'S3.1 Per-article counts'!$H$2:$H$48,"&gt;0")&lt;5,"  [k="&amp;COUNTIFS('S3.1 Per-article counts'!$A$2:$A$48,$B12,'S3.1 Per-article counts'!$H$2:$H$48,"&gt;0")&amp;"/5]","")))</f>
        <v>40/44 (90.9%)</v>
      </c>
      <c r="G12" s="7" t="str">
        <f aca="false">IF(COUNTIFS('S3.1 Per-article counts'!$A$2:$A$48,$B12,'S3.1 Per-article counts'!$I$2:$I$48,"NS")&gt;0,"Not supported",IF(SUMIFS('S3.1 Per-article counts'!$J$2:$J$48,'S3.1 Per-article counts'!$A$2:$A$48,$B12)=0,"Not scored",SUMIFS('S3.1 Per-article counts'!$I$2:$I$48,'S3.1 Per-article counts'!$A$2:$A$48,$B12)&amp;"/"&amp;SUMIFS('S3.1 Per-article counts'!$J$2:$J$48,'S3.1 Per-article counts'!$A$2:$A$48,$B12)&amp;" ("&amp;TEXT(SUMIFS('S3.1 Per-article counts'!$I$2:$I$48,'S3.1 Per-article counts'!$A$2:$A$48,$B12)/SUMIFS('S3.1 Per-article counts'!$J$2:$J$48,'S3.1 Per-article counts'!$A$2:$A$48,$B12),"0.0%")&amp;")"&amp;IF(COUNTIFS('S3.1 Per-article counts'!$A$2:$A$48,$B12,'S3.1 Per-article counts'!$J$2:$J$48,"&gt;0")&lt;5,"  [k="&amp;COUNTIFS('S3.1 Per-article counts'!$A$2:$A$48,$B12,'S3.1 Per-article counts'!$J$2:$J$48,"&gt;0")&amp;"/5]","")))</f>
        <v>29/37 (78.4%)  [k=4/5]</v>
      </c>
      <c r="H12" s="7" t="str">
        <f aca="false">IF(COUNTIFS('S3.1 Per-article counts'!$A$2:$A$48,$B12,'S3.1 Per-article counts'!$K$2:$K$48,"NS")&gt;0,"Not supported",IF(SUMIFS('S3.1 Per-article counts'!$L$2:$L$48,'S3.1 Per-article counts'!$A$2:$A$48,$B12)=0,"Not scored",SUMIFS('S3.1 Per-article counts'!$K$2:$K$48,'S3.1 Per-article counts'!$A$2:$A$48,$B12)&amp;"/"&amp;SUMIFS('S3.1 Per-article counts'!$L$2:$L$48,'S3.1 Per-article counts'!$A$2:$A$48,$B12)&amp;" ("&amp;TEXT(SUMIFS('S3.1 Per-article counts'!$K$2:$K$48,'S3.1 Per-article counts'!$A$2:$A$48,$B12)/SUMIFS('S3.1 Per-article counts'!$L$2:$L$48,'S3.1 Per-article counts'!$A$2:$A$48,$B12),"0.0%")&amp;")"&amp;IF(COUNTIFS('S3.1 Per-article counts'!$A$2:$A$48,$B12,'S3.1 Per-article counts'!$L$2:$L$48,"&gt;0")&lt;5,"  [k="&amp;COUNTIFS('S3.1 Per-article counts'!$A$2:$A$48,$B12,'S3.1 Per-article counts'!$L$2:$L$48,"&gt;0")&amp;"/5]","")))</f>
        <v>2/12 (16.7%)</v>
      </c>
    </row>
    <row r="13" customFormat="false" ht="35.05" hidden="false" customHeight="false" outlineLevel="0" collapsed="false">
      <c r="A13" s="7" t="s">
        <v>37</v>
      </c>
      <c r="B13" s="8" t="s">
        <v>42</v>
      </c>
      <c r="C13" s="7" t="s">
        <v>43</v>
      </c>
      <c r="D13" s="7" t="str">
        <f aca="false">IF(COUNTIFS('S3.1 Per-article counts'!$A$2:$A$48,$B13,'S3.1 Per-article counts'!$C$2:$C$48,"NS")&gt;0,"Not supported",IF(SUMIFS('S3.1 Per-article counts'!$D$2:$D$48,'S3.1 Per-article counts'!$A$2:$A$48,$B13)=0,"Not scored",SUMIFS('S3.1 Per-article counts'!$C$2:$C$48,'S3.1 Per-article counts'!$A$2:$A$48,$B13)&amp;"/"&amp;SUMIFS('S3.1 Per-article counts'!$D$2:$D$48,'S3.1 Per-article counts'!$A$2:$A$48,$B13)&amp;" ("&amp;TEXT(SUMIFS('S3.1 Per-article counts'!$C$2:$C$48,'S3.1 Per-article counts'!$A$2:$A$48,$B13)/SUMIFS('S3.1 Per-article counts'!$D$2:$D$48,'S3.1 Per-article counts'!$A$2:$A$48,$B13),"0.0%")&amp;")"&amp;IF(COUNTIFS('S3.1 Per-article counts'!$A$2:$A$48,$B13,'S3.1 Per-article counts'!$D$2:$D$48,"&gt;0")&lt;5,"  [k="&amp;COUNTIFS('S3.1 Per-article counts'!$A$2:$A$48,$B13,'S3.1 Per-article counts'!$D$2:$D$48,"&gt;0")&amp;"/5]","")))</f>
        <v>43/44 (97.7%)</v>
      </c>
      <c r="E13" s="7" t="str">
        <f aca="false">IF(COUNTIFS('S3.1 Per-article counts'!$A$2:$A$48,$B13,'S3.1 Per-article counts'!$E$2:$E$48,"NS")&gt;0,"Not supported",IF(SUMIFS('S3.1 Per-article counts'!$F$2:$F$48,'S3.1 Per-article counts'!$A$2:$A$48,$B13)=0,"Not scored",SUMIFS('S3.1 Per-article counts'!$E$2:$E$48,'S3.1 Per-article counts'!$A$2:$A$48,$B13)&amp;"/"&amp;SUMIFS('S3.1 Per-article counts'!$F$2:$F$48,'S3.1 Per-article counts'!$A$2:$A$48,$B13)&amp;" ("&amp;TEXT(SUMIFS('S3.1 Per-article counts'!$E$2:$E$48,'S3.1 Per-article counts'!$A$2:$A$48,$B13)/SUMIFS('S3.1 Per-article counts'!$F$2:$F$48,'S3.1 Per-article counts'!$A$2:$A$48,$B13),"0.0%")&amp;")"&amp;IF(COUNTIFS('S3.1 Per-article counts'!$A$2:$A$48,$B13,'S3.1 Per-article counts'!$F$2:$F$48,"&gt;0")&lt;5,"  [k="&amp;COUNTIFS('S3.1 Per-article counts'!$A$2:$A$48,$B13,'S3.1 Per-article counts'!$F$2:$F$48,"&gt;0")&amp;"/5]","")))</f>
        <v>9/44 (20.5%)</v>
      </c>
      <c r="F13" s="7" t="str">
        <f aca="false">IF(COUNTIFS('S3.1 Per-article counts'!$A$2:$A$48,$B13,'S3.1 Per-article counts'!$G$2:$G$48,"NS")&gt;0,"Not supported",IF(SUMIFS('S3.1 Per-article counts'!$H$2:$H$48,'S3.1 Per-article counts'!$A$2:$A$48,$B13)=0,"Not scored",SUMIFS('S3.1 Per-article counts'!$G$2:$G$48,'S3.1 Per-article counts'!$A$2:$A$48,$B13)&amp;"/"&amp;SUMIFS('S3.1 Per-article counts'!$H$2:$H$48,'S3.1 Per-article counts'!$A$2:$A$48,$B13)&amp;" ("&amp;TEXT(SUMIFS('S3.1 Per-article counts'!$G$2:$G$48,'S3.1 Per-article counts'!$A$2:$A$48,$B13)/SUMIFS('S3.1 Per-article counts'!$H$2:$H$48,'S3.1 Per-article counts'!$A$2:$A$48,$B13),"0.0%")&amp;")"&amp;IF(COUNTIFS('S3.1 Per-article counts'!$A$2:$A$48,$B13,'S3.1 Per-article counts'!$H$2:$H$48,"&gt;0")&lt;5,"  [k="&amp;COUNTIFS('S3.1 Per-article counts'!$A$2:$A$48,$B13,'S3.1 Per-article counts'!$H$2:$H$48,"&gt;0")&amp;"/5]","")))</f>
        <v>Not scored</v>
      </c>
      <c r="G13" s="7" t="str">
        <f aca="false">IF(COUNTIFS('S3.1 Per-article counts'!$A$2:$A$48,$B13,'S3.1 Per-article counts'!$I$2:$I$48,"NS")&gt;0,"Not supported",IF(SUMIFS('S3.1 Per-article counts'!$J$2:$J$48,'S3.1 Per-article counts'!$A$2:$A$48,$B13)=0,"Not scored",SUMIFS('S3.1 Per-article counts'!$I$2:$I$48,'S3.1 Per-article counts'!$A$2:$A$48,$B13)&amp;"/"&amp;SUMIFS('S3.1 Per-article counts'!$J$2:$J$48,'S3.1 Per-article counts'!$A$2:$A$48,$B13)&amp;" ("&amp;TEXT(SUMIFS('S3.1 Per-article counts'!$I$2:$I$48,'S3.1 Per-article counts'!$A$2:$A$48,$B13)/SUMIFS('S3.1 Per-article counts'!$J$2:$J$48,'S3.1 Per-article counts'!$A$2:$A$48,$B13),"0.0%")&amp;")"&amp;IF(COUNTIFS('S3.1 Per-article counts'!$A$2:$A$48,$B13,'S3.1 Per-article counts'!$J$2:$J$48,"&gt;0")&lt;5,"  [k="&amp;COUNTIFS('S3.1 Per-article counts'!$A$2:$A$48,$B13,'S3.1 Per-article counts'!$J$2:$J$48,"&gt;0")&amp;"/5]","")))</f>
        <v>6/37 (16.2%)  [k=4/5]</v>
      </c>
      <c r="H13" s="7" t="str">
        <f aca="false">IF(COUNTIFS('S3.1 Per-article counts'!$A$2:$A$48,$B13,'S3.1 Per-article counts'!$K$2:$K$48,"NS")&gt;0,"Not supported",IF(SUMIFS('S3.1 Per-article counts'!$L$2:$L$48,'S3.1 Per-article counts'!$A$2:$A$48,$B13)=0,"Not scored",SUMIFS('S3.1 Per-article counts'!$K$2:$K$48,'S3.1 Per-article counts'!$A$2:$A$48,$B13)&amp;"/"&amp;SUMIFS('S3.1 Per-article counts'!$L$2:$L$48,'S3.1 Per-article counts'!$A$2:$A$48,$B13)&amp;" ("&amp;TEXT(SUMIFS('S3.1 Per-article counts'!$K$2:$K$48,'S3.1 Per-article counts'!$A$2:$A$48,$B13)/SUMIFS('S3.1 Per-article counts'!$L$2:$L$48,'S3.1 Per-article counts'!$A$2:$A$48,$B13),"0.0%")&amp;")"&amp;IF(COUNTIFS('S3.1 Per-article counts'!$A$2:$A$48,$B13,'S3.1 Per-article counts'!$L$2:$L$48,"&gt;0")&lt;5,"  [k="&amp;COUNTIFS('S3.1 Per-article counts'!$A$2:$A$48,$B13,'S3.1 Per-article counts'!$L$2:$L$48,"&gt;0")&amp;"/5]","")))</f>
        <v>2/12 (16.7%)</v>
      </c>
    </row>
    <row r="14" customFormat="false" ht="23.85" hidden="false" customHeight="false" outlineLevel="0" collapsed="false">
      <c r="A14" s="7" t="s">
        <v>37</v>
      </c>
      <c r="B14" s="8" t="s">
        <v>44</v>
      </c>
      <c r="C14" s="7" t="s">
        <v>45</v>
      </c>
      <c r="D14" s="7" t="s">
        <v>46</v>
      </c>
      <c r="E14" s="7" t="s">
        <v>46</v>
      </c>
      <c r="F14" s="7" t="s">
        <v>46</v>
      </c>
      <c r="G14" s="7" t="s">
        <v>46</v>
      </c>
      <c r="H14" s="7" t="s">
        <v>46</v>
      </c>
    </row>
    <row r="15" customFormat="false" ht="23.85" hidden="false" customHeight="false" outlineLevel="0" collapsed="false">
      <c r="A15" s="9" t="s">
        <v>47</v>
      </c>
      <c r="B15" s="10" t="s">
        <v>48</v>
      </c>
      <c r="C15" s="9" t="s">
        <v>49</v>
      </c>
      <c r="D15" s="9" t="s">
        <v>50</v>
      </c>
      <c r="E15" s="9" t="s">
        <v>51</v>
      </c>
      <c r="F15" s="9" t="s">
        <v>52</v>
      </c>
      <c r="G15" s="9" t="s">
        <v>53</v>
      </c>
      <c r="H15" s="9" t="s">
        <v>54</v>
      </c>
    </row>
    <row r="16" customFormat="false" ht="23.85" hidden="false" customHeight="false" outlineLevel="0" collapsed="false">
      <c r="A16" s="9" t="s">
        <v>47</v>
      </c>
      <c r="B16" s="10" t="s">
        <v>55</v>
      </c>
      <c r="C16" s="9" t="s">
        <v>56</v>
      </c>
      <c r="D16" s="9" t="s">
        <v>57</v>
      </c>
      <c r="E16" s="9" t="s">
        <v>58</v>
      </c>
      <c r="F16" s="9" t="s">
        <v>59</v>
      </c>
      <c r="G16" s="9" t="s">
        <v>60</v>
      </c>
      <c r="H16" s="9" t="s">
        <v>61</v>
      </c>
    </row>
    <row r="17" customFormat="false" ht="35.05" hidden="false" customHeight="false" outlineLevel="0" collapsed="false">
      <c r="A17" s="9" t="s">
        <v>47</v>
      </c>
      <c r="B17" s="10" t="s">
        <v>62</v>
      </c>
      <c r="C17" s="9" t="s">
        <v>63</v>
      </c>
      <c r="D17" s="9" t="s">
        <v>64</v>
      </c>
      <c r="E17" s="9" t="s">
        <v>65</v>
      </c>
      <c r="F17" s="9" t="s">
        <v>66</v>
      </c>
      <c r="G17" s="9" t="s">
        <v>67</v>
      </c>
      <c r="H17" s="9" t="s">
        <v>68</v>
      </c>
    </row>
    <row r="19" customFormat="false" ht="39.75" hidden="false" customHeight="true" outlineLevel="0" collapsed="false">
      <c r="A19" s="11" t="s">
        <v>69</v>
      </c>
      <c r="B19" s="11"/>
      <c r="C19" s="11"/>
      <c r="D19" s="11"/>
      <c r="E19" s="11"/>
      <c r="F19" s="11"/>
      <c r="G19" s="11"/>
      <c r="H19" s="11"/>
    </row>
    <row r="20" customFormat="false" ht="39.75" hidden="false" customHeight="true" outlineLevel="0" collapsed="false">
      <c r="A20" s="11" t="s">
        <v>70</v>
      </c>
      <c r="B20" s="11"/>
      <c r="C20" s="11"/>
      <c r="D20" s="11"/>
      <c r="E20" s="11"/>
      <c r="F20" s="11"/>
      <c r="G20" s="11"/>
      <c r="H20" s="11"/>
    </row>
    <row r="21" customFormat="false" ht="39.75" hidden="false" customHeight="true" outlineLevel="0" collapsed="false">
      <c r="A21" s="11" t="s">
        <v>71</v>
      </c>
      <c r="B21" s="11"/>
      <c r="C21" s="11"/>
      <c r="D21" s="11"/>
      <c r="E21" s="11"/>
      <c r="F21" s="11"/>
      <c r="G21" s="11"/>
      <c r="H21" s="11"/>
    </row>
    <row r="22" customFormat="false" ht="39.75" hidden="false" customHeight="true" outlineLevel="0" collapsed="false">
      <c r="A22" s="11" t="s">
        <v>72</v>
      </c>
      <c r="B22" s="11"/>
      <c r="C22" s="11"/>
      <c r="D22" s="11"/>
      <c r="E22" s="11"/>
      <c r="F22" s="11"/>
      <c r="G22" s="11"/>
      <c r="H22" s="11"/>
    </row>
    <row r="23" customFormat="false" ht="39.75" hidden="false" customHeight="true" outlineLevel="0" collapsed="false">
      <c r="A23" s="11" t="s">
        <v>73</v>
      </c>
      <c r="B23" s="11"/>
      <c r="C23" s="11"/>
      <c r="D23" s="11"/>
      <c r="E23" s="11"/>
      <c r="F23" s="11"/>
      <c r="G23" s="11"/>
      <c r="H23" s="11"/>
    </row>
    <row r="24" customFormat="false" ht="39.75" hidden="false" customHeight="true" outlineLevel="0" collapsed="false">
      <c r="A24" s="11" t="s">
        <v>74</v>
      </c>
      <c r="B24" s="11"/>
      <c r="C24" s="11"/>
      <c r="D24" s="11"/>
      <c r="E24" s="11"/>
      <c r="F24" s="11"/>
      <c r="G24" s="11"/>
      <c r="H24" s="11"/>
    </row>
  </sheetData>
  <mergeCells count="7">
    <mergeCell ref="A1:G1"/>
    <mergeCell ref="A19:H19"/>
    <mergeCell ref="A20:H20"/>
    <mergeCell ref="A21:H21"/>
    <mergeCell ref="A22:H22"/>
    <mergeCell ref="A23:H2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12" min="3" style="0" width="11"/>
    <col collapsed="false" customWidth="true" hidden="false" outlineLevel="0" max="13" min="13" style="0" width="70"/>
  </cols>
  <sheetData>
    <row r="1" customFormat="false" ht="46.25" hidden="false" customHeight="false" outlineLevel="0" collapsed="false">
      <c r="A1" s="6" t="s">
        <v>14</v>
      </c>
      <c r="B1" s="6" t="s">
        <v>75</v>
      </c>
      <c r="C1" s="6" t="s">
        <v>76</v>
      </c>
      <c r="D1" s="6" t="s">
        <v>77</v>
      </c>
      <c r="E1" s="6" t="s">
        <v>78</v>
      </c>
      <c r="F1" s="6" t="s">
        <v>79</v>
      </c>
      <c r="G1" s="6" t="s">
        <v>80</v>
      </c>
      <c r="H1" s="6" t="s">
        <v>81</v>
      </c>
      <c r="I1" s="6" t="s">
        <v>82</v>
      </c>
      <c r="J1" s="6" t="s">
        <v>83</v>
      </c>
      <c r="K1" s="6" t="s">
        <v>84</v>
      </c>
      <c r="L1" s="6" t="s">
        <v>85</v>
      </c>
      <c r="M1" s="6" t="s">
        <v>86</v>
      </c>
    </row>
    <row r="2" customFormat="false" ht="15" hidden="false" customHeight="false" outlineLevel="0" collapsed="false">
      <c r="A2" s="7" t="s">
        <v>22</v>
      </c>
      <c r="B2" s="7" t="s">
        <v>87</v>
      </c>
      <c r="C2" s="12" t="n">
        <v>221</v>
      </c>
      <c r="D2" s="12" t="n">
        <v>221</v>
      </c>
      <c r="E2" s="12" t="n">
        <v>220</v>
      </c>
      <c r="F2" s="12" t="n">
        <v>221</v>
      </c>
      <c r="G2" s="12" t="n">
        <v>217</v>
      </c>
      <c r="H2" s="12" t="n">
        <v>221</v>
      </c>
      <c r="I2" s="12" t="n">
        <v>221</v>
      </c>
      <c r="J2" s="12" t="n">
        <v>221</v>
      </c>
      <c r="K2" s="12" t="s">
        <v>88</v>
      </c>
      <c r="L2" s="12" t="s">
        <v>88</v>
      </c>
      <c r="M2" s="7"/>
    </row>
    <row r="3" customFormat="false" ht="15" hidden="false" customHeight="false" outlineLevel="0" collapsed="false">
      <c r="A3" s="7" t="s">
        <v>22</v>
      </c>
      <c r="B3" s="7" t="s">
        <v>89</v>
      </c>
      <c r="C3" s="12" t="n">
        <v>187</v>
      </c>
      <c r="D3" s="12" t="n">
        <v>187</v>
      </c>
      <c r="E3" s="12" t="n">
        <v>182</v>
      </c>
      <c r="F3" s="12" t="n">
        <v>187</v>
      </c>
      <c r="G3" s="12" t="n">
        <v>186</v>
      </c>
      <c r="H3" s="12" t="n">
        <v>187</v>
      </c>
      <c r="I3" s="13" t="s">
        <v>90</v>
      </c>
      <c r="J3" s="13" t="s">
        <v>90</v>
      </c>
      <c r="K3" s="12" t="s">
        <v>88</v>
      </c>
      <c r="L3" s="12" t="s">
        <v>88</v>
      </c>
      <c r="M3" s="7" t="s">
        <v>91</v>
      </c>
    </row>
    <row r="4" customFormat="false" ht="15" hidden="false" customHeight="false" outlineLevel="0" collapsed="false">
      <c r="A4" s="7" t="s">
        <v>22</v>
      </c>
      <c r="B4" s="7" t="s">
        <v>92</v>
      </c>
      <c r="C4" s="12" t="n">
        <v>254</v>
      </c>
      <c r="D4" s="12" t="n">
        <v>254</v>
      </c>
      <c r="E4" s="12" t="n">
        <v>22</v>
      </c>
      <c r="F4" s="12" t="n">
        <v>254</v>
      </c>
      <c r="G4" s="12" t="n">
        <v>238</v>
      </c>
      <c r="H4" s="12" t="n">
        <v>254</v>
      </c>
      <c r="I4" s="12" t="n">
        <v>254</v>
      </c>
      <c r="J4" s="12" t="n">
        <v>254</v>
      </c>
      <c r="K4" s="12" t="s">
        <v>88</v>
      </c>
      <c r="L4" s="12" t="s">
        <v>88</v>
      </c>
      <c r="M4" s="7" t="s">
        <v>93</v>
      </c>
    </row>
    <row r="5" customFormat="false" ht="15" hidden="false" customHeight="false" outlineLevel="0" collapsed="false">
      <c r="A5" s="7" t="s">
        <v>22</v>
      </c>
      <c r="B5" s="7" t="s">
        <v>94</v>
      </c>
      <c r="C5" s="12" t="n">
        <v>262</v>
      </c>
      <c r="D5" s="12" t="n">
        <v>262</v>
      </c>
      <c r="E5" s="12" t="n">
        <v>259</v>
      </c>
      <c r="F5" s="12" t="n">
        <v>262</v>
      </c>
      <c r="G5" s="12" t="n">
        <v>250</v>
      </c>
      <c r="H5" s="12" t="n">
        <v>262</v>
      </c>
      <c r="I5" s="12" t="n">
        <v>261</v>
      </c>
      <c r="J5" s="12" t="n">
        <v>262</v>
      </c>
      <c r="K5" s="12" t="s">
        <v>88</v>
      </c>
      <c r="L5" s="12" t="s">
        <v>88</v>
      </c>
      <c r="M5" s="7"/>
    </row>
    <row r="6" customFormat="false" ht="15" hidden="false" customHeight="false" outlineLevel="0" collapsed="false">
      <c r="A6" s="7" t="s">
        <v>22</v>
      </c>
      <c r="B6" s="7" t="s">
        <v>95</v>
      </c>
      <c r="C6" s="12" t="n">
        <v>337</v>
      </c>
      <c r="D6" s="12" t="n">
        <v>341</v>
      </c>
      <c r="E6" s="12" t="n">
        <v>0</v>
      </c>
      <c r="F6" s="12" t="n">
        <v>341</v>
      </c>
      <c r="G6" s="12" t="n">
        <v>330</v>
      </c>
      <c r="H6" s="12" t="n">
        <v>341</v>
      </c>
      <c r="I6" s="12" t="n">
        <v>332</v>
      </c>
      <c r="J6" s="12" t="n">
        <v>341</v>
      </c>
      <c r="K6" s="12" t="s">
        <v>88</v>
      </c>
      <c r="L6" s="12" t="s">
        <v>88</v>
      </c>
      <c r="M6" s="7" t="s">
        <v>96</v>
      </c>
    </row>
    <row r="7" customFormat="false" ht="15" hidden="false" customHeight="false" outlineLevel="0" collapsed="false">
      <c r="A7" s="7" t="s">
        <v>24</v>
      </c>
      <c r="B7" s="7" t="s">
        <v>87</v>
      </c>
      <c r="C7" s="12" t="n">
        <v>6</v>
      </c>
      <c r="D7" s="12" t="n">
        <v>9</v>
      </c>
      <c r="E7" s="12" t="n">
        <v>3</v>
      </c>
      <c r="F7" s="12" t="n">
        <v>9</v>
      </c>
      <c r="G7" s="13" t="s">
        <v>97</v>
      </c>
      <c r="H7" s="13" t="s">
        <v>97</v>
      </c>
      <c r="I7" s="13" t="s">
        <v>97</v>
      </c>
      <c r="J7" s="13" t="s">
        <v>97</v>
      </c>
      <c r="K7" s="12" t="s">
        <v>88</v>
      </c>
      <c r="L7" s="12" t="s">
        <v>88</v>
      </c>
      <c r="M7" s="7"/>
    </row>
    <row r="8" customFormat="false" ht="15" hidden="false" customHeight="false" outlineLevel="0" collapsed="false">
      <c r="A8" s="7" t="s">
        <v>24</v>
      </c>
      <c r="B8" s="7" t="s">
        <v>89</v>
      </c>
      <c r="C8" s="12" t="n">
        <v>3</v>
      </c>
      <c r="D8" s="12" t="n">
        <v>7</v>
      </c>
      <c r="E8" s="12" t="n">
        <v>0</v>
      </c>
      <c r="F8" s="12" t="n">
        <v>7</v>
      </c>
      <c r="G8" s="13" t="s">
        <v>97</v>
      </c>
      <c r="H8" s="13" t="s">
        <v>97</v>
      </c>
      <c r="I8" s="13" t="s">
        <v>90</v>
      </c>
      <c r="J8" s="13" t="s">
        <v>90</v>
      </c>
      <c r="K8" s="12" t="s">
        <v>88</v>
      </c>
      <c r="L8" s="12" t="s">
        <v>88</v>
      </c>
      <c r="M8" s="7" t="s">
        <v>98</v>
      </c>
    </row>
    <row r="9" customFormat="false" ht="15" hidden="false" customHeight="false" outlineLevel="0" collapsed="false">
      <c r="A9" s="7" t="s">
        <v>24</v>
      </c>
      <c r="B9" s="7" t="s">
        <v>92</v>
      </c>
      <c r="C9" s="12" t="n">
        <v>7</v>
      </c>
      <c r="D9" s="12" t="n">
        <v>10</v>
      </c>
      <c r="E9" s="12" t="n">
        <v>0</v>
      </c>
      <c r="F9" s="12" t="n">
        <v>10</v>
      </c>
      <c r="G9" s="13" t="s">
        <v>97</v>
      </c>
      <c r="H9" s="13" t="s">
        <v>97</v>
      </c>
      <c r="I9" s="12" t="n">
        <v>3</v>
      </c>
      <c r="J9" s="12" t="n">
        <v>10</v>
      </c>
      <c r="K9" s="12" t="s">
        <v>88</v>
      </c>
      <c r="L9" s="12" t="s">
        <v>88</v>
      </c>
      <c r="M9" s="7" t="s">
        <v>99</v>
      </c>
    </row>
    <row r="10" customFormat="false" ht="15" hidden="false" customHeight="false" outlineLevel="0" collapsed="false">
      <c r="A10" s="7" t="s">
        <v>24</v>
      </c>
      <c r="B10" s="7" t="s">
        <v>94</v>
      </c>
      <c r="C10" s="12" t="n">
        <v>6</v>
      </c>
      <c r="D10" s="12" t="n">
        <v>7</v>
      </c>
      <c r="E10" s="12" t="n">
        <v>1</v>
      </c>
      <c r="F10" s="12" t="n">
        <v>7</v>
      </c>
      <c r="G10" s="13" t="s">
        <v>97</v>
      </c>
      <c r="H10" s="13" t="s">
        <v>97</v>
      </c>
      <c r="I10" s="12" t="n">
        <v>2</v>
      </c>
      <c r="J10" s="12" t="n">
        <v>7</v>
      </c>
      <c r="K10" s="12" t="s">
        <v>88</v>
      </c>
      <c r="L10" s="12" t="s">
        <v>88</v>
      </c>
      <c r="M10" s="7"/>
    </row>
    <row r="11" customFormat="false" ht="15" hidden="false" customHeight="false" outlineLevel="0" collapsed="false">
      <c r="A11" s="7" t="s">
        <v>24</v>
      </c>
      <c r="B11" s="7" t="s">
        <v>95</v>
      </c>
      <c r="C11" s="12" t="n">
        <v>3</v>
      </c>
      <c r="D11" s="12" t="n">
        <v>11</v>
      </c>
      <c r="E11" s="12" t="n">
        <v>1</v>
      </c>
      <c r="F11" s="12" t="n">
        <v>11</v>
      </c>
      <c r="G11" s="13" t="s">
        <v>97</v>
      </c>
      <c r="H11" s="13" t="s">
        <v>97</v>
      </c>
      <c r="I11" s="13" t="s">
        <v>97</v>
      </c>
      <c r="J11" s="13" t="s">
        <v>97</v>
      </c>
      <c r="K11" s="12" t="s">
        <v>88</v>
      </c>
      <c r="L11" s="12" t="s">
        <v>88</v>
      </c>
      <c r="M11" s="7" t="s">
        <v>100</v>
      </c>
    </row>
    <row r="12" customFormat="false" ht="15" hidden="false" customHeight="false" outlineLevel="0" collapsed="false">
      <c r="A12" s="7" t="s">
        <v>27</v>
      </c>
      <c r="B12" s="7" t="s">
        <v>87</v>
      </c>
      <c r="C12" s="12" t="n">
        <v>4</v>
      </c>
      <c r="D12" s="12" t="n">
        <v>4</v>
      </c>
      <c r="E12" s="12" t="n">
        <v>4</v>
      </c>
      <c r="F12" s="12" t="n">
        <v>4</v>
      </c>
      <c r="G12" s="12" t="n">
        <v>4</v>
      </c>
      <c r="H12" s="12" t="n">
        <v>4</v>
      </c>
      <c r="I12" s="12" t="n">
        <v>2</v>
      </c>
      <c r="J12" s="12" t="n">
        <v>4</v>
      </c>
      <c r="K12" s="12" t="n">
        <v>4</v>
      </c>
      <c r="L12" s="12" t="n">
        <v>4</v>
      </c>
      <c r="M12" s="7" t="s">
        <v>101</v>
      </c>
    </row>
    <row r="13" customFormat="false" ht="15" hidden="false" customHeight="false" outlineLevel="0" collapsed="false">
      <c r="A13" s="7" t="s">
        <v>27</v>
      </c>
      <c r="B13" s="7" t="s">
        <v>89</v>
      </c>
      <c r="C13" s="12" t="n">
        <v>2</v>
      </c>
      <c r="D13" s="12" t="n">
        <v>2</v>
      </c>
      <c r="E13" s="12" t="n">
        <v>1</v>
      </c>
      <c r="F13" s="12" t="n">
        <v>2</v>
      </c>
      <c r="G13" s="12" t="n">
        <v>2</v>
      </c>
      <c r="H13" s="12" t="n">
        <v>2</v>
      </c>
      <c r="I13" s="13" t="s">
        <v>90</v>
      </c>
      <c r="J13" s="13" t="s">
        <v>90</v>
      </c>
      <c r="K13" s="12" t="n">
        <v>1</v>
      </c>
      <c r="L13" s="12" t="n">
        <v>2</v>
      </c>
      <c r="M13" s="7"/>
    </row>
    <row r="14" customFormat="false" ht="15" hidden="false" customHeight="false" outlineLevel="0" collapsed="false">
      <c r="A14" s="7" t="s">
        <v>27</v>
      </c>
      <c r="B14" s="7" t="s">
        <v>92</v>
      </c>
      <c r="C14" s="12" t="n">
        <v>1</v>
      </c>
      <c r="D14" s="12" t="n">
        <v>1</v>
      </c>
      <c r="E14" s="12" t="n">
        <v>1</v>
      </c>
      <c r="F14" s="12" t="n">
        <v>1</v>
      </c>
      <c r="G14" s="12" t="n">
        <v>1</v>
      </c>
      <c r="H14" s="12" t="n">
        <v>1</v>
      </c>
      <c r="I14" s="12" t="n">
        <v>1</v>
      </c>
      <c r="J14" s="12" t="n">
        <v>1</v>
      </c>
      <c r="K14" s="12" t="n">
        <v>1</v>
      </c>
      <c r="L14" s="12" t="n">
        <v>1</v>
      </c>
      <c r="M14" s="7"/>
    </row>
    <row r="15" customFormat="false" ht="15" hidden="false" customHeight="false" outlineLevel="0" collapsed="false">
      <c r="A15" s="7" t="s">
        <v>27</v>
      </c>
      <c r="B15" s="7" t="s">
        <v>94</v>
      </c>
      <c r="C15" s="12" t="n">
        <v>2</v>
      </c>
      <c r="D15" s="12" t="n">
        <v>2</v>
      </c>
      <c r="E15" s="12" t="n">
        <v>2</v>
      </c>
      <c r="F15" s="12" t="n">
        <v>2</v>
      </c>
      <c r="G15" s="12" t="n">
        <v>2</v>
      </c>
      <c r="H15" s="12" t="n">
        <v>2</v>
      </c>
      <c r="I15" s="12" t="n">
        <v>2</v>
      </c>
      <c r="J15" s="12" t="n">
        <v>2</v>
      </c>
      <c r="K15" s="12" t="n">
        <v>1</v>
      </c>
      <c r="L15" s="12" t="n">
        <v>2</v>
      </c>
      <c r="M15" s="7"/>
    </row>
    <row r="16" customFormat="false" ht="15" hidden="false" customHeight="false" outlineLevel="0" collapsed="false">
      <c r="A16" s="7" t="s">
        <v>27</v>
      </c>
      <c r="B16" s="7" t="s">
        <v>95</v>
      </c>
      <c r="C16" s="12" t="n">
        <v>3</v>
      </c>
      <c r="D16" s="12" t="n">
        <v>3</v>
      </c>
      <c r="E16" s="12" t="n">
        <v>3</v>
      </c>
      <c r="F16" s="12" t="n">
        <v>3</v>
      </c>
      <c r="G16" s="12" t="n">
        <v>3</v>
      </c>
      <c r="H16" s="12" t="n">
        <v>3</v>
      </c>
      <c r="I16" s="12" t="n">
        <v>3</v>
      </c>
      <c r="J16" s="12" t="n">
        <v>3</v>
      </c>
      <c r="K16" s="12" t="n">
        <v>3</v>
      </c>
      <c r="L16" s="12" t="n">
        <v>3</v>
      </c>
      <c r="M16" s="7" t="s">
        <v>102</v>
      </c>
    </row>
    <row r="17" customFormat="false" ht="15" hidden="false" customHeight="false" outlineLevel="0" collapsed="false">
      <c r="A17" s="7" t="s">
        <v>29</v>
      </c>
      <c r="B17" s="7" t="s">
        <v>87</v>
      </c>
      <c r="C17" s="12" t="n">
        <v>4</v>
      </c>
      <c r="D17" s="12" t="n">
        <v>4</v>
      </c>
      <c r="E17" s="12" t="n">
        <v>3</v>
      </c>
      <c r="F17" s="12" t="n">
        <v>4</v>
      </c>
      <c r="G17" s="12" t="n">
        <v>3</v>
      </c>
      <c r="H17" s="12" t="n">
        <v>4</v>
      </c>
      <c r="I17" s="12" t="n">
        <v>2</v>
      </c>
      <c r="J17" s="12" t="n">
        <v>4</v>
      </c>
      <c r="K17" s="12" t="n">
        <v>3</v>
      </c>
      <c r="L17" s="12" t="n">
        <v>4</v>
      </c>
      <c r="M17" s="7"/>
    </row>
    <row r="18" customFormat="false" ht="15" hidden="false" customHeight="false" outlineLevel="0" collapsed="false">
      <c r="A18" s="7" t="s">
        <v>29</v>
      </c>
      <c r="B18" s="7" t="s">
        <v>89</v>
      </c>
      <c r="C18" s="12" t="n">
        <v>1</v>
      </c>
      <c r="D18" s="12" t="n">
        <v>2</v>
      </c>
      <c r="E18" s="12" t="n">
        <v>0</v>
      </c>
      <c r="F18" s="12" t="n">
        <v>2</v>
      </c>
      <c r="G18" s="12" t="n">
        <v>1</v>
      </c>
      <c r="H18" s="12" t="n">
        <v>2</v>
      </c>
      <c r="I18" s="13" t="s">
        <v>90</v>
      </c>
      <c r="J18" s="13" t="s">
        <v>90</v>
      </c>
      <c r="K18" s="12" t="n">
        <v>0</v>
      </c>
      <c r="L18" s="12" t="n">
        <v>2</v>
      </c>
      <c r="M18" s="7"/>
    </row>
    <row r="19" customFormat="false" ht="15" hidden="false" customHeight="false" outlineLevel="0" collapsed="false">
      <c r="A19" s="7" t="s">
        <v>29</v>
      </c>
      <c r="B19" s="7" t="s">
        <v>92</v>
      </c>
      <c r="C19" s="12" t="n">
        <v>1</v>
      </c>
      <c r="D19" s="12" t="n">
        <v>1</v>
      </c>
      <c r="E19" s="12" t="n">
        <v>1</v>
      </c>
      <c r="F19" s="12" t="n">
        <v>1</v>
      </c>
      <c r="G19" s="12" t="n">
        <v>1</v>
      </c>
      <c r="H19" s="12" t="n">
        <v>1</v>
      </c>
      <c r="I19" s="12" t="n">
        <v>1</v>
      </c>
      <c r="J19" s="12" t="n">
        <v>1</v>
      </c>
      <c r="K19" s="12" t="n">
        <v>0</v>
      </c>
      <c r="L19" s="12" t="n">
        <v>1</v>
      </c>
      <c r="M19" s="7"/>
    </row>
    <row r="20" customFormat="false" ht="15" hidden="false" customHeight="false" outlineLevel="0" collapsed="false">
      <c r="A20" s="7" t="s">
        <v>29</v>
      </c>
      <c r="B20" s="7" t="s">
        <v>94</v>
      </c>
      <c r="C20" s="12" t="n">
        <v>2</v>
      </c>
      <c r="D20" s="12" t="n">
        <v>2</v>
      </c>
      <c r="E20" s="12" t="n">
        <v>2</v>
      </c>
      <c r="F20" s="12" t="n">
        <v>2</v>
      </c>
      <c r="G20" s="12" t="n">
        <v>2</v>
      </c>
      <c r="H20" s="12" t="n">
        <v>2</v>
      </c>
      <c r="I20" s="12" t="n">
        <v>2</v>
      </c>
      <c r="J20" s="12" t="n">
        <v>2</v>
      </c>
      <c r="K20" s="12" t="n">
        <v>0</v>
      </c>
      <c r="L20" s="12" t="n">
        <v>2</v>
      </c>
      <c r="M20" s="7"/>
    </row>
    <row r="21" customFormat="false" ht="23.85" hidden="false" customHeight="false" outlineLevel="0" collapsed="false">
      <c r="A21" s="7" t="s">
        <v>29</v>
      </c>
      <c r="B21" s="7" t="s">
        <v>95</v>
      </c>
      <c r="C21" s="12" t="n">
        <v>2</v>
      </c>
      <c r="D21" s="12" t="n">
        <v>3</v>
      </c>
      <c r="E21" s="12" t="n">
        <v>1</v>
      </c>
      <c r="F21" s="12" t="n">
        <v>3</v>
      </c>
      <c r="G21" s="12" t="n">
        <v>2</v>
      </c>
      <c r="H21" s="12" t="n">
        <v>3</v>
      </c>
      <c r="I21" s="12" t="n">
        <v>2</v>
      </c>
      <c r="J21" s="12" t="n">
        <v>3</v>
      </c>
      <c r="K21" s="12" t="n">
        <v>1</v>
      </c>
      <c r="L21" s="12" t="n">
        <v>3</v>
      </c>
      <c r="M21" s="7" t="s">
        <v>103</v>
      </c>
    </row>
    <row r="22" customFormat="false" ht="15" hidden="false" customHeight="false" outlineLevel="0" collapsed="false">
      <c r="A22" s="7" t="s">
        <v>31</v>
      </c>
      <c r="B22" s="7" t="s">
        <v>87</v>
      </c>
      <c r="C22" s="12" t="n">
        <v>3</v>
      </c>
      <c r="D22" s="12" t="n">
        <v>4</v>
      </c>
      <c r="E22" s="12" t="n">
        <v>2</v>
      </c>
      <c r="F22" s="12" t="n">
        <v>4</v>
      </c>
      <c r="G22" s="12" t="n">
        <v>2</v>
      </c>
      <c r="H22" s="12" t="n">
        <v>4</v>
      </c>
      <c r="I22" s="12" t="n">
        <v>2</v>
      </c>
      <c r="J22" s="12" t="n">
        <v>4</v>
      </c>
      <c r="K22" s="12" t="n">
        <v>0</v>
      </c>
      <c r="L22" s="12" t="n">
        <v>4</v>
      </c>
      <c r="M22" s="7"/>
    </row>
    <row r="23" customFormat="false" ht="15" hidden="false" customHeight="false" outlineLevel="0" collapsed="false">
      <c r="A23" s="7" t="s">
        <v>31</v>
      </c>
      <c r="B23" s="7" t="s">
        <v>89</v>
      </c>
      <c r="C23" s="12" t="n">
        <v>0</v>
      </c>
      <c r="D23" s="12" t="n">
        <v>1</v>
      </c>
      <c r="E23" s="12" t="n">
        <v>0</v>
      </c>
      <c r="F23" s="12" t="n">
        <v>1</v>
      </c>
      <c r="G23" s="12" t="n">
        <v>0</v>
      </c>
      <c r="H23" s="12" t="n">
        <v>1</v>
      </c>
      <c r="I23" s="13" t="s">
        <v>90</v>
      </c>
      <c r="J23" s="13" t="s">
        <v>90</v>
      </c>
      <c r="K23" s="12" t="n">
        <v>0</v>
      </c>
      <c r="L23" s="12" t="n">
        <v>1</v>
      </c>
      <c r="M23" s="7" t="s">
        <v>104</v>
      </c>
    </row>
    <row r="24" customFormat="false" ht="15" hidden="false" customHeight="false" outlineLevel="0" collapsed="false">
      <c r="A24" s="7" t="s">
        <v>31</v>
      </c>
      <c r="B24" s="7" t="s">
        <v>94</v>
      </c>
      <c r="C24" s="12" t="n">
        <v>1</v>
      </c>
      <c r="D24" s="12" t="n">
        <v>1</v>
      </c>
      <c r="E24" s="12" t="n">
        <v>0</v>
      </c>
      <c r="F24" s="12" t="n">
        <v>1</v>
      </c>
      <c r="G24" s="12" t="n">
        <v>1</v>
      </c>
      <c r="H24" s="12" t="n">
        <v>1</v>
      </c>
      <c r="I24" s="12" t="n">
        <v>1</v>
      </c>
      <c r="J24" s="12" t="n">
        <v>1</v>
      </c>
      <c r="K24" s="12" t="n">
        <v>0</v>
      </c>
      <c r="L24" s="12" t="n">
        <v>1</v>
      </c>
      <c r="M24" s="7" t="s">
        <v>105</v>
      </c>
    </row>
    <row r="25" customFormat="false" ht="15" hidden="false" customHeight="false" outlineLevel="0" collapsed="false">
      <c r="A25" s="7" t="s">
        <v>33</v>
      </c>
      <c r="B25" s="7" t="s">
        <v>87</v>
      </c>
      <c r="C25" s="12" t="n">
        <v>110</v>
      </c>
      <c r="D25" s="12" t="n">
        <v>110</v>
      </c>
      <c r="E25" s="12" t="n">
        <v>110</v>
      </c>
      <c r="F25" s="12" t="n">
        <v>110</v>
      </c>
      <c r="G25" s="12" t="n">
        <v>110</v>
      </c>
      <c r="H25" s="12" t="n">
        <v>110</v>
      </c>
      <c r="I25" s="12" t="n">
        <v>0</v>
      </c>
      <c r="J25" s="12" t="n">
        <v>110</v>
      </c>
      <c r="K25" s="12" t="n">
        <v>110</v>
      </c>
      <c r="L25" s="12" t="n">
        <v>110</v>
      </c>
      <c r="M25" s="7" t="s">
        <v>106</v>
      </c>
    </row>
    <row r="26" customFormat="false" ht="23.85" hidden="false" customHeight="false" outlineLevel="0" collapsed="false">
      <c r="A26" s="7" t="s">
        <v>33</v>
      </c>
      <c r="B26" s="7" t="s">
        <v>89</v>
      </c>
      <c r="C26" s="12" t="n">
        <v>20</v>
      </c>
      <c r="D26" s="12" t="n">
        <v>30</v>
      </c>
      <c r="E26" s="12" t="n">
        <v>0</v>
      </c>
      <c r="F26" s="12" t="n">
        <v>30</v>
      </c>
      <c r="G26" s="12" t="n">
        <v>30</v>
      </c>
      <c r="H26" s="12" t="n">
        <v>30</v>
      </c>
      <c r="I26" s="13" t="s">
        <v>90</v>
      </c>
      <c r="J26" s="13" t="s">
        <v>90</v>
      </c>
      <c r="K26" s="12" t="n">
        <v>21</v>
      </c>
      <c r="L26" s="12" t="n">
        <v>30</v>
      </c>
      <c r="M26" s="7" t="s">
        <v>107</v>
      </c>
    </row>
    <row r="27" customFormat="false" ht="15" hidden="false" customHeight="false" outlineLevel="0" collapsed="false">
      <c r="A27" s="7" t="s">
        <v>33</v>
      </c>
      <c r="B27" s="7" t="s">
        <v>92</v>
      </c>
      <c r="C27" s="12" t="n">
        <v>84</v>
      </c>
      <c r="D27" s="12" t="n">
        <v>84</v>
      </c>
      <c r="E27" s="12" t="n">
        <v>82</v>
      </c>
      <c r="F27" s="12" t="n">
        <v>84</v>
      </c>
      <c r="G27" s="12" t="n">
        <v>84</v>
      </c>
      <c r="H27" s="12" t="n">
        <v>84</v>
      </c>
      <c r="I27" s="12" t="n">
        <v>83</v>
      </c>
      <c r="J27" s="12" t="n">
        <v>84</v>
      </c>
      <c r="K27" s="12" t="n">
        <v>84</v>
      </c>
      <c r="L27" s="12" t="n">
        <v>84</v>
      </c>
      <c r="M27" s="7" t="s">
        <v>108</v>
      </c>
    </row>
    <row r="28" customFormat="false" ht="15" hidden="false" customHeight="false" outlineLevel="0" collapsed="false">
      <c r="A28" s="7" t="s">
        <v>33</v>
      </c>
      <c r="B28" s="7" t="s">
        <v>94</v>
      </c>
      <c r="C28" s="12" t="n">
        <v>53</v>
      </c>
      <c r="D28" s="12" t="n">
        <v>58</v>
      </c>
      <c r="E28" s="12" t="n">
        <v>58</v>
      </c>
      <c r="F28" s="12" t="n">
        <v>58</v>
      </c>
      <c r="G28" s="12" t="n">
        <v>58</v>
      </c>
      <c r="H28" s="12" t="n">
        <v>58</v>
      </c>
      <c r="I28" s="12" t="n">
        <v>58</v>
      </c>
      <c r="J28" s="12" t="n">
        <v>58</v>
      </c>
      <c r="K28" s="12" t="n">
        <v>35</v>
      </c>
      <c r="L28" s="12" t="n">
        <v>58</v>
      </c>
      <c r="M28" s="7" t="s">
        <v>109</v>
      </c>
    </row>
    <row r="29" customFormat="false" ht="23.85" hidden="false" customHeight="false" outlineLevel="0" collapsed="false">
      <c r="A29" s="7" t="s">
        <v>33</v>
      </c>
      <c r="B29" s="7" t="s">
        <v>95</v>
      </c>
      <c r="C29" s="12" t="n">
        <v>30</v>
      </c>
      <c r="D29" s="12" t="n">
        <v>30</v>
      </c>
      <c r="E29" s="12" t="n">
        <v>29</v>
      </c>
      <c r="F29" s="12" t="n">
        <v>30</v>
      </c>
      <c r="G29" s="12" t="n">
        <v>30</v>
      </c>
      <c r="H29" s="12" t="n">
        <v>30</v>
      </c>
      <c r="I29" s="13" t="s">
        <v>97</v>
      </c>
      <c r="J29" s="13" t="s">
        <v>97</v>
      </c>
      <c r="K29" s="12" t="n">
        <v>30</v>
      </c>
      <c r="L29" s="12" t="n">
        <v>30</v>
      </c>
      <c r="M29" s="7" t="s">
        <v>110</v>
      </c>
    </row>
    <row r="30" customFormat="false" ht="15" hidden="false" customHeight="false" outlineLevel="0" collapsed="false">
      <c r="A30" s="7" t="s">
        <v>35</v>
      </c>
      <c r="B30" s="7" t="s">
        <v>87</v>
      </c>
      <c r="C30" s="12" t="n">
        <v>21</v>
      </c>
      <c r="D30" s="12" t="n">
        <v>21</v>
      </c>
      <c r="E30" s="12" t="n">
        <v>21</v>
      </c>
      <c r="F30" s="12" t="n">
        <v>21</v>
      </c>
      <c r="G30" s="12" t="n">
        <v>7</v>
      </c>
      <c r="H30" s="12" t="n">
        <v>21</v>
      </c>
      <c r="I30" s="12" t="n">
        <v>21</v>
      </c>
      <c r="J30" s="12" t="n">
        <v>21</v>
      </c>
      <c r="K30" s="12" t="n">
        <v>0</v>
      </c>
      <c r="L30" s="12" t="n">
        <v>21</v>
      </c>
      <c r="M30" s="7" t="s">
        <v>111</v>
      </c>
    </row>
    <row r="31" customFormat="false" ht="15" hidden="false" customHeight="false" outlineLevel="0" collapsed="false">
      <c r="A31" s="7" t="s">
        <v>35</v>
      </c>
      <c r="B31" s="7" t="s">
        <v>92</v>
      </c>
      <c r="C31" s="12" t="n">
        <v>84</v>
      </c>
      <c r="D31" s="12" t="n">
        <v>84</v>
      </c>
      <c r="E31" s="12" t="n">
        <v>82</v>
      </c>
      <c r="F31" s="12" t="n">
        <v>84</v>
      </c>
      <c r="G31" s="12" t="n">
        <v>30</v>
      </c>
      <c r="H31" s="12" t="n">
        <v>84</v>
      </c>
      <c r="I31" s="12" t="n">
        <v>84</v>
      </c>
      <c r="J31" s="12" t="n">
        <v>84</v>
      </c>
      <c r="K31" s="13" t="s">
        <v>97</v>
      </c>
      <c r="L31" s="13" t="s">
        <v>97</v>
      </c>
      <c r="M31" s="7" t="s">
        <v>112</v>
      </c>
    </row>
    <row r="32" customFormat="false" ht="15" hidden="false" customHeight="false" outlineLevel="0" collapsed="false">
      <c r="A32" s="7" t="s">
        <v>35</v>
      </c>
      <c r="B32" s="7" t="s">
        <v>94</v>
      </c>
      <c r="C32" s="12" t="n">
        <v>35</v>
      </c>
      <c r="D32" s="12" t="n">
        <v>35</v>
      </c>
      <c r="E32" s="12" t="n">
        <v>25</v>
      </c>
      <c r="F32" s="12" t="n">
        <v>35</v>
      </c>
      <c r="G32" s="12" t="n">
        <v>35</v>
      </c>
      <c r="H32" s="12" t="n">
        <v>35</v>
      </c>
      <c r="I32" s="12" t="n">
        <v>30</v>
      </c>
      <c r="J32" s="12" t="n">
        <v>35</v>
      </c>
      <c r="K32" s="13" t="s">
        <v>97</v>
      </c>
      <c r="L32" s="13" t="s">
        <v>97</v>
      </c>
      <c r="M32" s="7" t="s">
        <v>113</v>
      </c>
    </row>
    <row r="33" customFormat="false" ht="15" hidden="false" customHeight="false" outlineLevel="0" collapsed="false">
      <c r="A33" s="7" t="s">
        <v>35</v>
      </c>
      <c r="B33" s="7" t="s">
        <v>95</v>
      </c>
      <c r="C33" s="12" t="n">
        <v>24</v>
      </c>
      <c r="D33" s="12" t="n">
        <v>24</v>
      </c>
      <c r="E33" s="12" t="n">
        <v>14</v>
      </c>
      <c r="F33" s="12" t="n">
        <v>24</v>
      </c>
      <c r="G33" s="13" t="s">
        <v>97</v>
      </c>
      <c r="H33" s="13" t="s">
        <v>97</v>
      </c>
      <c r="I33" s="12" t="n">
        <v>4</v>
      </c>
      <c r="J33" s="12" t="n">
        <v>24</v>
      </c>
      <c r="K33" s="13" t="s">
        <v>97</v>
      </c>
      <c r="L33" s="13" t="s">
        <v>97</v>
      </c>
      <c r="M33" s="7" t="s">
        <v>114</v>
      </c>
    </row>
    <row r="34" customFormat="false" ht="15" hidden="false" customHeight="false" outlineLevel="0" collapsed="false">
      <c r="A34" s="7" t="s">
        <v>38</v>
      </c>
      <c r="B34" s="7" t="s">
        <v>87</v>
      </c>
      <c r="C34" s="12" t="n">
        <v>4</v>
      </c>
      <c r="D34" s="12" t="n">
        <v>5</v>
      </c>
      <c r="E34" s="12" t="s">
        <v>88</v>
      </c>
      <c r="F34" s="12" t="s">
        <v>88</v>
      </c>
      <c r="G34" s="12" t="n">
        <v>5</v>
      </c>
      <c r="H34" s="12" t="n">
        <v>5</v>
      </c>
      <c r="I34" s="12" t="s">
        <v>88</v>
      </c>
      <c r="J34" s="12" t="s">
        <v>88</v>
      </c>
      <c r="K34" s="12" t="s">
        <v>88</v>
      </c>
      <c r="L34" s="12" t="s">
        <v>88</v>
      </c>
      <c r="M34" s="7"/>
    </row>
    <row r="35" customFormat="false" ht="15" hidden="false" customHeight="false" outlineLevel="0" collapsed="false">
      <c r="A35" s="7" t="s">
        <v>38</v>
      </c>
      <c r="B35" s="7" t="s">
        <v>89</v>
      </c>
      <c r="C35" s="12" t="n">
        <v>5</v>
      </c>
      <c r="D35" s="12" t="n">
        <v>5</v>
      </c>
      <c r="E35" s="12" t="s">
        <v>88</v>
      </c>
      <c r="F35" s="12" t="s">
        <v>88</v>
      </c>
      <c r="G35" s="13" t="s">
        <v>97</v>
      </c>
      <c r="H35" s="13" t="s">
        <v>97</v>
      </c>
      <c r="I35" s="13" t="s">
        <v>90</v>
      </c>
      <c r="J35" s="13" t="s">
        <v>90</v>
      </c>
      <c r="K35" s="12" t="s">
        <v>88</v>
      </c>
      <c r="L35" s="12" t="s">
        <v>88</v>
      </c>
      <c r="M35" s="7" t="s">
        <v>115</v>
      </c>
    </row>
    <row r="36" customFormat="false" ht="15" hidden="false" customHeight="false" outlineLevel="0" collapsed="false">
      <c r="A36" s="7" t="s">
        <v>38</v>
      </c>
      <c r="B36" s="7" t="s">
        <v>92</v>
      </c>
      <c r="C36" s="12" t="n">
        <v>9</v>
      </c>
      <c r="D36" s="12" t="n">
        <v>9</v>
      </c>
      <c r="E36" s="12" t="s">
        <v>88</v>
      </c>
      <c r="F36" s="12" t="s">
        <v>88</v>
      </c>
      <c r="G36" s="13" t="s">
        <v>97</v>
      </c>
      <c r="H36" s="13" t="s">
        <v>97</v>
      </c>
      <c r="I36" s="12" t="s">
        <v>88</v>
      </c>
      <c r="J36" s="12" t="s">
        <v>88</v>
      </c>
      <c r="K36" s="12" t="s">
        <v>88</v>
      </c>
      <c r="L36" s="12" t="s">
        <v>88</v>
      </c>
      <c r="M36" s="7"/>
    </row>
    <row r="37" customFormat="false" ht="15" hidden="false" customHeight="false" outlineLevel="0" collapsed="false">
      <c r="A37" s="7" t="s">
        <v>38</v>
      </c>
      <c r="B37" s="7" t="s">
        <v>94</v>
      </c>
      <c r="C37" s="12" t="n">
        <v>5</v>
      </c>
      <c r="D37" s="12" t="n">
        <v>5</v>
      </c>
      <c r="E37" s="12" t="s">
        <v>88</v>
      </c>
      <c r="F37" s="12" t="s">
        <v>88</v>
      </c>
      <c r="G37" s="13" t="s">
        <v>97</v>
      </c>
      <c r="H37" s="13" t="s">
        <v>97</v>
      </c>
      <c r="I37" s="12" t="s">
        <v>88</v>
      </c>
      <c r="J37" s="12" t="s">
        <v>88</v>
      </c>
      <c r="K37" s="12" t="s">
        <v>88</v>
      </c>
      <c r="L37" s="12" t="s">
        <v>88</v>
      </c>
      <c r="M37" s="7"/>
    </row>
    <row r="38" customFormat="false" ht="15" hidden="false" customHeight="false" outlineLevel="0" collapsed="false">
      <c r="A38" s="7" t="s">
        <v>38</v>
      </c>
      <c r="B38" s="7" t="s">
        <v>95</v>
      </c>
      <c r="C38" s="12" t="n">
        <v>8</v>
      </c>
      <c r="D38" s="12" t="n">
        <v>8</v>
      </c>
      <c r="E38" s="12" t="s">
        <v>88</v>
      </c>
      <c r="F38" s="12" t="s">
        <v>88</v>
      </c>
      <c r="G38" s="13" t="s">
        <v>97</v>
      </c>
      <c r="H38" s="13" t="s">
        <v>97</v>
      </c>
      <c r="I38" s="12" t="s">
        <v>88</v>
      </c>
      <c r="J38" s="12" t="s">
        <v>88</v>
      </c>
      <c r="K38" s="12" t="s">
        <v>88</v>
      </c>
      <c r="L38" s="12" t="s">
        <v>88</v>
      </c>
      <c r="M38" s="7"/>
    </row>
    <row r="39" customFormat="false" ht="15" hidden="false" customHeight="false" outlineLevel="0" collapsed="false">
      <c r="A39" s="7" t="s">
        <v>40</v>
      </c>
      <c r="B39" s="7" t="s">
        <v>87</v>
      </c>
      <c r="C39" s="12" t="n">
        <v>8</v>
      </c>
      <c r="D39" s="12" t="n">
        <v>9</v>
      </c>
      <c r="E39" s="12" t="n">
        <v>8</v>
      </c>
      <c r="F39" s="12" t="n">
        <v>9</v>
      </c>
      <c r="G39" s="12" t="n">
        <v>9</v>
      </c>
      <c r="H39" s="12" t="n">
        <v>9</v>
      </c>
      <c r="I39" s="12" t="n">
        <v>8</v>
      </c>
      <c r="J39" s="12" t="n">
        <v>9</v>
      </c>
      <c r="K39" s="12" t="n">
        <v>1</v>
      </c>
      <c r="L39" s="12" t="n">
        <v>4</v>
      </c>
      <c r="M39" s="7" t="s">
        <v>116</v>
      </c>
    </row>
    <row r="40" customFormat="false" ht="15" hidden="false" customHeight="false" outlineLevel="0" collapsed="false">
      <c r="A40" s="7" t="s">
        <v>40</v>
      </c>
      <c r="B40" s="7" t="s">
        <v>89</v>
      </c>
      <c r="C40" s="12" t="n">
        <v>7</v>
      </c>
      <c r="D40" s="12" t="n">
        <v>7</v>
      </c>
      <c r="E40" s="12" t="n">
        <v>4</v>
      </c>
      <c r="F40" s="12" t="n">
        <v>7</v>
      </c>
      <c r="G40" s="12" t="n">
        <v>7</v>
      </c>
      <c r="H40" s="12" t="n">
        <v>7</v>
      </c>
      <c r="I40" s="13" t="s">
        <v>90</v>
      </c>
      <c r="J40" s="13" t="s">
        <v>90</v>
      </c>
      <c r="K40" s="12" t="n">
        <v>0</v>
      </c>
      <c r="L40" s="12" t="n">
        <v>2</v>
      </c>
      <c r="M40" s="7"/>
    </row>
    <row r="41" customFormat="false" ht="15" hidden="false" customHeight="false" outlineLevel="0" collapsed="false">
      <c r="A41" s="7" t="s">
        <v>40</v>
      </c>
      <c r="B41" s="7" t="s">
        <v>92</v>
      </c>
      <c r="C41" s="12" t="n">
        <v>10</v>
      </c>
      <c r="D41" s="12" t="n">
        <v>10</v>
      </c>
      <c r="E41" s="12" t="n">
        <v>6</v>
      </c>
      <c r="F41" s="12" t="n">
        <v>10</v>
      </c>
      <c r="G41" s="12" t="n">
        <v>9</v>
      </c>
      <c r="H41" s="12" t="n">
        <v>10</v>
      </c>
      <c r="I41" s="12" t="n">
        <v>7</v>
      </c>
      <c r="J41" s="12" t="n">
        <v>10</v>
      </c>
      <c r="K41" s="12" t="n">
        <v>0</v>
      </c>
      <c r="L41" s="12" t="n">
        <v>1</v>
      </c>
      <c r="M41" s="7"/>
    </row>
    <row r="42" customFormat="false" ht="15" hidden="false" customHeight="false" outlineLevel="0" collapsed="false">
      <c r="A42" s="7" t="s">
        <v>40</v>
      </c>
      <c r="B42" s="7" t="s">
        <v>94</v>
      </c>
      <c r="C42" s="12" t="n">
        <v>7</v>
      </c>
      <c r="D42" s="12" t="n">
        <v>7</v>
      </c>
      <c r="E42" s="12" t="n">
        <v>7</v>
      </c>
      <c r="F42" s="12" t="n">
        <v>7</v>
      </c>
      <c r="G42" s="12" t="n">
        <v>6</v>
      </c>
      <c r="H42" s="12" t="n">
        <v>7</v>
      </c>
      <c r="I42" s="12" t="n">
        <v>5</v>
      </c>
      <c r="J42" s="12" t="n">
        <v>7</v>
      </c>
      <c r="K42" s="12" t="n">
        <v>1</v>
      </c>
      <c r="L42" s="12" t="n">
        <v>2</v>
      </c>
      <c r="M42" s="7"/>
    </row>
    <row r="43" customFormat="false" ht="15" hidden="false" customHeight="false" outlineLevel="0" collapsed="false">
      <c r="A43" s="7" t="s">
        <v>40</v>
      </c>
      <c r="B43" s="7" t="s">
        <v>95</v>
      </c>
      <c r="C43" s="12" t="n">
        <v>11</v>
      </c>
      <c r="D43" s="12" t="n">
        <v>11</v>
      </c>
      <c r="E43" s="12" t="n">
        <v>8</v>
      </c>
      <c r="F43" s="12" t="n">
        <v>11</v>
      </c>
      <c r="G43" s="12" t="n">
        <v>9</v>
      </c>
      <c r="H43" s="12" t="n">
        <v>11</v>
      </c>
      <c r="I43" s="12" t="n">
        <v>9</v>
      </c>
      <c r="J43" s="12" t="n">
        <v>11</v>
      </c>
      <c r="K43" s="12" t="n">
        <v>0</v>
      </c>
      <c r="L43" s="12" t="n">
        <v>3</v>
      </c>
      <c r="M43" s="7"/>
    </row>
    <row r="44" customFormat="false" ht="23.85" hidden="false" customHeight="false" outlineLevel="0" collapsed="false">
      <c r="A44" s="7" t="s">
        <v>42</v>
      </c>
      <c r="B44" s="7" t="s">
        <v>87</v>
      </c>
      <c r="C44" s="12" t="n">
        <v>8</v>
      </c>
      <c r="D44" s="12" t="n">
        <v>9</v>
      </c>
      <c r="E44" s="12" t="n">
        <v>3</v>
      </c>
      <c r="F44" s="12" t="n">
        <v>9</v>
      </c>
      <c r="G44" s="13" t="s">
        <v>97</v>
      </c>
      <c r="H44" s="13" t="s">
        <v>97</v>
      </c>
      <c r="I44" s="12" t="n">
        <v>2</v>
      </c>
      <c r="J44" s="12" t="n">
        <v>9</v>
      </c>
      <c r="K44" s="12" t="n">
        <v>1</v>
      </c>
      <c r="L44" s="12" t="n">
        <v>4</v>
      </c>
      <c r="M44" s="7" t="s">
        <v>117</v>
      </c>
    </row>
    <row r="45" customFormat="false" ht="15" hidden="false" customHeight="false" outlineLevel="0" collapsed="false">
      <c r="A45" s="7" t="s">
        <v>42</v>
      </c>
      <c r="B45" s="7" t="s">
        <v>89</v>
      </c>
      <c r="C45" s="12" t="n">
        <v>7</v>
      </c>
      <c r="D45" s="12" t="n">
        <v>7</v>
      </c>
      <c r="E45" s="12" t="n">
        <v>1</v>
      </c>
      <c r="F45" s="12" t="n">
        <v>7</v>
      </c>
      <c r="G45" s="13" t="s">
        <v>97</v>
      </c>
      <c r="H45" s="13" t="s">
        <v>97</v>
      </c>
      <c r="I45" s="13" t="s">
        <v>90</v>
      </c>
      <c r="J45" s="13" t="s">
        <v>90</v>
      </c>
      <c r="K45" s="12" t="n">
        <v>0</v>
      </c>
      <c r="L45" s="12" t="n">
        <v>2</v>
      </c>
      <c r="M45" s="7"/>
    </row>
    <row r="46" customFormat="false" ht="15" hidden="false" customHeight="false" outlineLevel="0" collapsed="false">
      <c r="A46" s="7" t="s">
        <v>42</v>
      </c>
      <c r="B46" s="7" t="s">
        <v>92</v>
      </c>
      <c r="C46" s="12" t="n">
        <v>10</v>
      </c>
      <c r="D46" s="12" t="n">
        <v>10</v>
      </c>
      <c r="E46" s="12" t="n">
        <v>1</v>
      </c>
      <c r="F46" s="12" t="n">
        <v>10</v>
      </c>
      <c r="G46" s="13" t="s">
        <v>97</v>
      </c>
      <c r="H46" s="13" t="s">
        <v>97</v>
      </c>
      <c r="I46" s="12" t="n">
        <v>1</v>
      </c>
      <c r="J46" s="12" t="n">
        <v>10</v>
      </c>
      <c r="K46" s="12" t="n">
        <v>0</v>
      </c>
      <c r="L46" s="12" t="n">
        <v>1</v>
      </c>
      <c r="M46" s="7"/>
    </row>
    <row r="47" customFormat="false" ht="15" hidden="false" customHeight="false" outlineLevel="0" collapsed="false">
      <c r="A47" s="7" t="s">
        <v>42</v>
      </c>
      <c r="B47" s="7" t="s">
        <v>94</v>
      </c>
      <c r="C47" s="12" t="n">
        <v>7</v>
      </c>
      <c r="D47" s="12" t="n">
        <v>7</v>
      </c>
      <c r="E47" s="12" t="n">
        <v>2</v>
      </c>
      <c r="F47" s="12" t="n">
        <v>7</v>
      </c>
      <c r="G47" s="13" t="s">
        <v>97</v>
      </c>
      <c r="H47" s="13" t="s">
        <v>97</v>
      </c>
      <c r="I47" s="12" t="n">
        <v>0</v>
      </c>
      <c r="J47" s="12" t="n">
        <v>7</v>
      </c>
      <c r="K47" s="12" t="n">
        <v>1</v>
      </c>
      <c r="L47" s="12" t="n">
        <v>2</v>
      </c>
      <c r="M47" s="7"/>
    </row>
    <row r="48" customFormat="false" ht="15" hidden="false" customHeight="false" outlineLevel="0" collapsed="false">
      <c r="A48" s="7" t="s">
        <v>42</v>
      </c>
      <c r="B48" s="7" t="s">
        <v>95</v>
      </c>
      <c r="C48" s="12" t="n">
        <v>11</v>
      </c>
      <c r="D48" s="12" t="n">
        <v>11</v>
      </c>
      <c r="E48" s="12" t="n">
        <v>2</v>
      </c>
      <c r="F48" s="12" t="n">
        <v>11</v>
      </c>
      <c r="G48" s="13" t="s">
        <v>97</v>
      </c>
      <c r="H48" s="13" t="s">
        <v>97</v>
      </c>
      <c r="I48" s="12" t="n">
        <v>3</v>
      </c>
      <c r="J48" s="12" t="n">
        <v>11</v>
      </c>
      <c r="K48" s="12" t="n">
        <v>0</v>
      </c>
      <c r="L48" s="12" t="n">
        <v>3</v>
      </c>
      <c r="M48" s="7" t="s">
        <v>118</v>
      </c>
    </row>
    <row r="50" customFormat="false" ht="15" hidden="false" customHeight="false" outlineLevel="0" collapsed="false">
      <c r="A50" s="14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6" min="5" style="0" width="8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6" t="s">
        <v>120</v>
      </c>
      <c r="B1" s="6" t="s">
        <v>121</v>
      </c>
      <c r="C1" s="6" t="s">
        <v>122</v>
      </c>
      <c r="D1" s="6" t="s">
        <v>123</v>
      </c>
      <c r="E1" s="6" t="s">
        <v>124</v>
      </c>
      <c r="F1" s="6" t="s">
        <v>125</v>
      </c>
      <c r="G1" s="6" t="s">
        <v>126</v>
      </c>
    </row>
    <row r="2" customFormat="false" ht="23.85" hidden="false" customHeight="false" outlineLevel="0" collapsed="false">
      <c r="A2" s="7" t="s">
        <v>127</v>
      </c>
      <c r="B2" s="7" t="s">
        <v>128</v>
      </c>
      <c r="C2" s="7" t="s">
        <v>129</v>
      </c>
      <c r="D2" s="7" t="s">
        <v>130</v>
      </c>
      <c r="E2" s="7" t="n">
        <v>4</v>
      </c>
      <c r="F2" s="7" t="n">
        <v>5</v>
      </c>
      <c r="G2" s="7" t="s">
        <v>131</v>
      </c>
    </row>
    <row r="3" customFormat="false" ht="23.85" hidden="false" customHeight="false" outlineLevel="0" collapsed="false">
      <c r="A3" s="7" t="s">
        <v>132</v>
      </c>
      <c r="B3" s="7" t="s">
        <v>133</v>
      </c>
      <c r="C3" s="7" t="s">
        <v>134</v>
      </c>
      <c r="D3" s="7" t="s">
        <v>135</v>
      </c>
      <c r="E3" s="7" t="n">
        <v>2</v>
      </c>
      <c r="F3" s="7" t="n">
        <v>5</v>
      </c>
      <c r="G3" s="7" t="s">
        <v>136</v>
      </c>
    </row>
    <row r="4" customFormat="false" ht="15" hidden="false" customHeight="false" outlineLevel="0" collapsed="false">
      <c r="A4" s="7" t="s">
        <v>137</v>
      </c>
      <c r="B4" s="7" t="s">
        <v>138</v>
      </c>
      <c r="C4" s="7" t="s">
        <v>139</v>
      </c>
      <c r="D4" s="7" t="s">
        <v>130</v>
      </c>
      <c r="E4" s="7" t="n">
        <v>1</v>
      </c>
      <c r="F4" s="7" t="n">
        <v>9</v>
      </c>
      <c r="G4" s="7" t="s">
        <v>140</v>
      </c>
    </row>
    <row r="5" customFormat="false" ht="15" hidden="false" customHeight="false" outlineLevel="0" collapsed="false">
      <c r="A5" s="7" t="s">
        <v>141</v>
      </c>
      <c r="B5" s="7" t="s">
        <v>142</v>
      </c>
      <c r="C5" s="7" t="s">
        <v>143</v>
      </c>
      <c r="D5" s="7" t="s">
        <v>130</v>
      </c>
      <c r="E5" s="7" t="n">
        <v>2</v>
      </c>
      <c r="F5" s="7" t="n">
        <v>5</v>
      </c>
      <c r="G5" s="7" t="s">
        <v>144</v>
      </c>
    </row>
    <row r="6" customFormat="false" ht="15" hidden="false" customHeight="false" outlineLevel="0" collapsed="false">
      <c r="A6" s="7" t="s">
        <v>145</v>
      </c>
      <c r="B6" s="7" t="s">
        <v>146</v>
      </c>
      <c r="C6" s="7" t="s">
        <v>147</v>
      </c>
      <c r="D6" s="7" t="s">
        <v>130</v>
      </c>
      <c r="E6" s="7" t="n">
        <v>3</v>
      </c>
      <c r="F6" s="7" t="n">
        <v>8</v>
      </c>
      <c r="G6" s="7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40"/>
    <col collapsed="false" customWidth="true" hidden="false" outlineLevel="0" max="11" min="11" style="0" width="36"/>
  </cols>
  <sheetData>
    <row r="1" customFormat="false" ht="15" hidden="false" customHeight="false" outlineLevel="0" collapsed="false">
      <c r="A1" s="15" t="s">
        <v>149</v>
      </c>
    </row>
    <row r="3" customFormat="false" ht="23.85" hidden="false" customHeight="false" outlineLevel="0" collapsed="false">
      <c r="A3" s="6" t="s">
        <v>150</v>
      </c>
      <c r="B3" s="6" t="s">
        <v>151</v>
      </c>
      <c r="C3" s="6" t="s">
        <v>152</v>
      </c>
      <c r="D3" s="6" t="s">
        <v>153</v>
      </c>
      <c r="E3" s="6" t="s">
        <v>154</v>
      </c>
      <c r="F3" s="6" t="s">
        <v>155</v>
      </c>
      <c r="G3" s="6" t="s">
        <v>156</v>
      </c>
      <c r="H3" s="6" t="s">
        <v>157</v>
      </c>
      <c r="I3" s="6" t="s">
        <v>158</v>
      </c>
      <c r="J3" s="6" t="s">
        <v>159</v>
      </c>
      <c r="K3" s="6" t="s">
        <v>160</v>
      </c>
    </row>
    <row r="4" customFormat="false" ht="15" hidden="false" customHeight="false" outlineLevel="0" collapsed="false">
      <c r="A4" s="7" t="s">
        <v>16</v>
      </c>
      <c r="B4" s="16"/>
      <c r="C4" s="16"/>
      <c r="D4" s="16"/>
      <c r="E4" s="16"/>
      <c r="F4" s="16"/>
      <c r="G4" s="16"/>
      <c r="H4" s="7" t="s">
        <v>161</v>
      </c>
      <c r="I4" s="7" t="s">
        <v>162</v>
      </c>
      <c r="J4" s="7" t="s">
        <v>163</v>
      </c>
      <c r="K4" s="7"/>
    </row>
    <row r="5" customFormat="false" ht="23.85" hidden="false" customHeight="false" outlineLevel="0" collapsed="false">
      <c r="A5" s="7" t="s">
        <v>17</v>
      </c>
      <c r="B5" s="16"/>
      <c r="C5" s="16"/>
      <c r="D5" s="16"/>
      <c r="E5" s="16"/>
      <c r="F5" s="16"/>
      <c r="G5" s="16"/>
      <c r="H5" s="7" t="s">
        <v>161</v>
      </c>
      <c r="I5" s="7" t="s">
        <v>164</v>
      </c>
      <c r="J5" s="7" t="s">
        <v>165</v>
      </c>
      <c r="K5" s="7"/>
    </row>
    <row r="6" customFormat="false" ht="15" hidden="false" customHeight="false" outlineLevel="0" collapsed="false">
      <c r="A6" s="7" t="s">
        <v>166</v>
      </c>
      <c r="B6" s="16"/>
      <c r="C6" s="16"/>
      <c r="D6" s="16"/>
      <c r="E6" s="16"/>
      <c r="F6" s="16"/>
      <c r="G6" s="16"/>
      <c r="H6" s="7" t="s">
        <v>161</v>
      </c>
      <c r="I6" s="7" t="s">
        <v>167</v>
      </c>
      <c r="J6" s="7" t="s">
        <v>168</v>
      </c>
      <c r="K6" s="7"/>
    </row>
    <row r="7" customFormat="false" ht="15" hidden="false" customHeight="false" outlineLevel="0" collapsed="false">
      <c r="A7" s="7" t="s">
        <v>19</v>
      </c>
      <c r="B7" s="16"/>
      <c r="C7" s="16"/>
      <c r="D7" s="16"/>
      <c r="E7" s="16"/>
      <c r="F7" s="16"/>
      <c r="G7" s="16"/>
      <c r="H7" s="7" t="s">
        <v>169</v>
      </c>
      <c r="I7" s="7" t="s">
        <v>167</v>
      </c>
      <c r="J7" s="7" t="s">
        <v>170</v>
      </c>
      <c r="K7" s="7" t="s">
        <v>171</v>
      </c>
    </row>
    <row r="8" customFormat="false" ht="23.85" hidden="false" customHeight="false" outlineLevel="0" collapsed="false">
      <c r="A8" s="7" t="s">
        <v>20</v>
      </c>
      <c r="B8" s="16"/>
      <c r="C8" s="16"/>
      <c r="D8" s="16"/>
      <c r="E8" s="16"/>
      <c r="F8" s="16"/>
      <c r="G8" s="16"/>
      <c r="H8" s="7" t="s">
        <v>161</v>
      </c>
      <c r="I8" s="7" t="s">
        <v>162</v>
      </c>
      <c r="J8" s="7" t="s">
        <v>172</v>
      </c>
      <c r="K8" s="7" t="s">
        <v>173</v>
      </c>
    </row>
    <row r="10" customFormat="false" ht="15" hidden="false" customHeight="false" outlineLevel="0" collapsed="false">
      <c r="A10" s="17" t="s">
        <v>174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customFormat="false" ht="15" hidden="false" customHeight="false" outlineLevel="0" collapsed="false">
      <c r="A11" s="17" t="s">
        <v>175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customFormat="false" ht="15" hidden="false" customHeight="false" outlineLevel="0" collapsed="false">
      <c r="A12" s="17" t="s">
        <v>176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customFormat="false" ht="15" hidden="false" customHeight="false" outlineLevel="0" collapsed="false">
      <c r="A13" s="17" t="s">
        <v>177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</sheetData>
  <mergeCells count="4">
    <mergeCell ref="A10:K10"/>
    <mergeCell ref="A11:K11"/>
    <mergeCell ref="A12:K12"/>
    <mergeCell ref="A13:K13"/>
  </mergeCells>
  <dataValidations count="1">
    <dataValidation allowBlank="true" errorStyle="stop" operator="between" showDropDown="false" showErrorMessage="false" showInputMessage="false" sqref="C4:C8" type="list">
      <formula1>"Local,Web demo,Hosted API,Cloud notebook (e.g. Colab)"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80"/>
    <col collapsed="false" customWidth="true" hidden="false" outlineLevel="0" max="6" min="6" style="0" width="34"/>
  </cols>
  <sheetData>
    <row r="1" customFormat="false" ht="30" hidden="false" customHeight="true" outlineLevel="0" collapsed="false">
      <c r="A1" s="5" t="s">
        <v>178</v>
      </c>
      <c r="B1" s="5"/>
      <c r="C1" s="5"/>
      <c r="D1" s="5"/>
      <c r="E1" s="5"/>
      <c r="F1" s="5"/>
    </row>
    <row r="3" customFormat="false" ht="15" hidden="false" customHeight="false" outlineLevel="0" collapsed="false">
      <c r="A3" s="6" t="s">
        <v>121</v>
      </c>
      <c r="B3" s="6" t="s">
        <v>179</v>
      </c>
      <c r="C3" s="6" t="s">
        <v>150</v>
      </c>
      <c r="D3" s="6" t="s">
        <v>180</v>
      </c>
      <c r="E3" s="6" t="s">
        <v>181</v>
      </c>
      <c r="F3" s="6" t="s">
        <v>182</v>
      </c>
    </row>
    <row r="4" customFormat="false" ht="15" hidden="false" customHeight="false" outlineLevel="0" collapsed="false">
      <c r="A4" s="7" t="s">
        <v>87</v>
      </c>
      <c r="B4" s="7" t="s">
        <v>22</v>
      </c>
      <c r="C4" s="7" t="s">
        <v>16</v>
      </c>
      <c r="D4" s="7" t="s">
        <v>183</v>
      </c>
      <c r="E4" s="7" t="s">
        <v>184</v>
      </c>
      <c r="F4" s="7"/>
    </row>
    <row r="5" customFormat="false" ht="15" hidden="false" customHeight="false" outlineLevel="0" collapsed="false">
      <c r="A5" s="7" t="s">
        <v>87</v>
      </c>
      <c r="B5" s="7" t="s">
        <v>22</v>
      </c>
      <c r="C5" s="7" t="s">
        <v>17</v>
      </c>
      <c r="D5" s="7" t="s">
        <v>185</v>
      </c>
      <c r="E5" s="7" t="s">
        <v>186</v>
      </c>
      <c r="F5" s="7"/>
    </row>
    <row r="6" customFormat="false" ht="23.85" hidden="false" customHeight="false" outlineLevel="0" collapsed="false">
      <c r="A6" s="7" t="s">
        <v>87</v>
      </c>
      <c r="B6" s="7" t="s">
        <v>22</v>
      </c>
      <c r="C6" s="7" t="s">
        <v>18</v>
      </c>
      <c r="D6" s="7" t="s">
        <v>187</v>
      </c>
      <c r="E6" s="7" t="s">
        <v>188</v>
      </c>
      <c r="F6" s="7"/>
    </row>
    <row r="7" customFormat="false" ht="23.85" hidden="false" customHeight="false" outlineLevel="0" collapsed="false">
      <c r="A7" s="7" t="s">
        <v>87</v>
      </c>
      <c r="B7" s="7" t="s">
        <v>22</v>
      </c>
      <c r="C7" s="7" t="s">
        <v>19</v>
      </c>
      <c r="D7" s="7" t="s">
        <v>183</v>
      </c>
      <c r="E7" s="7" t="s">
        <v>189</v>
      </c>
      <c r="F7" s="7"/>
    </row>
    <row r="8" customFormat="false" ht="15" hidden="false" customHeight="false" outlineLevel="0" collapsed="false">
      <c r="A8" s="7" t="s">
        <v>87</v>
      </c>
      <c r="B8" s="7" t="s">
        <v>22</v>
      </c>
      <c r="C8" s="7" t="s">
        <v>20</v>
      </c>
      <c r="D8" s="7" t="s">
        <v>190</v>
      </c>
      <c r="E8" s="7" t="s">
        <v>191</v>
      </c>
      <c r="F8" s="7"/>
    </row>
    <row r="9" customFormat="false" ht="15" hidden="false" customHeight="false" outlineLevel="0" collapsed="false">
      <c r="A9" s="7" t="s">
        <v>87</v>
      </c>
      <c r="B9" s="7" t="s">
        <v>24</v>
      </c>
      <c r="C9" s="7" t="s">
        <v>16</v>
      </c>
      <c r="D9" s="7" t="s">
        <v>192</v>
      </c>
      <c r="E9" s="7" t="s">
        <v>193</v>
      </c>
      <c r="F9" s="7"/>
    </row>
    <row r="10" customFormat="false" ht="15" hidden="false" customHeight="false" outlineLevel="0" collapsed="false">
      <c r="A10" s="7" t="s">
        <v>87</v>
      </c>
      <c r="B10" s="7" t="s">
        <v>24</v>
      </c>
      <c r="C10" s="7" t="s">
        <v>17</v>
      </c>
      <c r="D10" s="7" t="s">
        <v>194</v>
      </c>
      <c r="E10" s="7" t="s">
        <v>195</v>
      </c>
      <c r="F10" s="7"/>
    </row>
    <row r="11" customFormat="false" ht="23.85" hidden="false" customHeight="false" outlineLevel="0" collapsed="false">
      <c r="A11" s="7" t="s">
        <v>87</v>
      </c>
      <c r="B11" s="7" t="s">
        <v>24</v>
      </c>
      <c r="C11" s="7" t="s">
        <v>18</v>
      </c>
      <c r="D11" s="7" t="s">
        <v>196</v>
      </c>
      <c r="E11" s="7" t="s">
        <v>197</v>
      </c>
      <c r="F11" s="7"/>
    </row>
    <row r="12" customFormat="false" ht="23.85" hidden="false" customHeight="false" outlineLevel="0" collapsed="false">
      <c r="A12" s="7" t="s">
        <v>87</v>
      </c>
      <c r="B12" s="7" t="s">
        <v>24</v>
      </c>
      <c r="C12" s="7" t="s">
        <v>19</v>
      </c>
      <c r="D12" s="7" t="s">
        <v>196</v>
      </c>
      <c r="E12" s="7" t="s">
        <v>198</v>
      </c>
      <c r="F12" s="7"/>
    </row>
    <row r="13" customFormat="false" ht="15" hidden="false" customHeight="false" outlineLevel="0" collapsed="false">
      <c r="A13" s="7" t="s">
        <v>87</v>
      </c>
      <c r="B13" s="7" t="s">
        <v>24</v>
      </c>
      <c r="C13" s="7" t="s">
        <v>20</v>
      </c>
      <c r="D13" s="7" t="s">
        <v>190</v>
      </c>
      <c r="E13" s="7" t="s">
        <v>199</v>
      </c>
      <c r="F13" s="7"/>
    </row>
    <row r="14" customFormat="false" ht="15" hidden="false" customHeight="false" outlineLevel="0" collapsed="false">
      <c r="A14" s="7" t="s">
        <v>87</v>
      </c>
      <c r="B14" s="7" t="s">
        <v>27</v>
      </c>
      <c r="C14" s="7" t="s">
        <v>16</v>
      </c>
      <c r="D14" s="7" t="s">
        <v>200</v>
      </c>
      <c r="E14" s="7" t="s">
        <v>201</v>
      </c>
      <c r="F14" s="7"/>
    </row>
    <row r="15" customFormat="false" ht="15" hidden="false" customHeight="false" outlineLevel="0" collapsed="false">
      <c r="A15" s="7" t="s">
        <v>87</v>
      </c>
      <c r="B15" s="7" t="s">
        <v>27</v>
      </c>
      <c r="C15" s="7" t="s">
        <v>17</v>
      </c>
      <c r="D15" s="7" t="s">
        <v>200</v>
      </c>
      <c r="E15" s="7" t="s">
        <v>202</v>
      </c>
      <c r="F15" s="7"/>
    </row>
    <row r="16" customFormat="false" ht="15" hidden="false" customHeight="false" outlineLevel="0" collapsed="false">
      <c r="A16" s="7" t="s">
        <v>87</v>
      </c>
      <c r="B16" s="7" t="s">
        <v>27</v>
      </c>
      <c r="C16" s="7" t="s">
        <v>18</v>
      </c>
      <c r="D16" s="7" t="s">
        <v>200</v>
      </c>
      <c r="E16" s="7" t="s">
        <v>203</v>
      </c>
      <c r="F16" s="7"/>
    </row>
    <row r="17" customFormat="false" ht="23.85" hidden="false" customHeight="false" outlineLevel="0" collapsed="false">
      <c r="A17" s="7" t="s">
        <v>87</v>
      </c>
      <c r="B17" s="7" t="s">
        <v>27</v>
      </c>
      <c r="C17" s="7" t="s">
        <v>19</v>
      </c>
      <c r="D17" s="7" t="s">
        <v>200</v>
      </c>
      <c r="E17" s="7" t="s">
        <v>204</v>
      </c>
      <c r="F17" s="7"/>
    </row>
    <row r="18" customFormat="false" ht="23.85" hidden="false" customHeight="false" outlineLevel="0" collapsed="false">
      <c r="A18" s="7" t="s">
        <v>87</v>
      </c>
      <c r="B18" s="7" t="s">
        <v>27</v>
      </c>
      <c r="C18" s="7" t="s">
        <v>20</v>
      </c>
      <c r="D18" s="7" t="s">
        <v>200</v>
      </c>
      <c r="E18" s="7" t="s">
        <v>205</v>
      </c>
      <c r="F18" s="7"/>
    </row>
    <row r="19" customFormat="false" ht="15" hidden="false" customHeight="false" outlineLevel="0" collapsed="false">
      <c r="A19" s="7" t="s">
        <v>87</v>
      </c>
      <c r="B19" s="7" t="s">
        <v>29</v>
      </c>
      <c r="C19" s="7" t="s">
        <v>16</v>
      </c>
      <c r="D19" s="7" t="s">
        <v>200</v>
      </c>
      <c r="E19" s="7" t="s">
        <v>206</v>
      </c>
      <c r="F19" s="7"/>
    </row>
    <row r="20" customFormat="false" ht="15" hidden="false" customHeight="false" outlineLevel="0" collapsed="false">
      <c r="A20" s="7" t="s">
        <v>87</v>
      </c>
      <c r="B20" s="7" t="s">
        <v>29</v>
      </c>
      <c r="C20" s="7" t="s">
        <v>17</v>
      </c>
      <c r="D20" s="7" t="s">
        <v>207</v>
      </c>
      <c r="E20" s="7" t="s">
        <v>208</v>
      </c>
      <c r="F20" s="7"/>
    </row>
    <row r="21" customFormat="false" ht="15" hidden="false" customHeight="false" outlineLevel="0" collapsed="false">
      <c r="A21" s="7" t="s">
        <v>87</v>
      </c>
      <c r="B21" s="7" t="s">
        <v>29</v>
      </c>
      <c r="C21" s="7" t="s">
        <v>18</v>
      </c>
      <c r="D21" s="7" t="s">
        <v>207</v>
      </c>
      <c r="E21" s="7" t="s">
        <v>209</v>
      </c>
      <c r="F21" s="7"/>
    </row>
    <row r="22" customFormat="false" ht="15" hidden="false" customHeight="false" outlineLevel="0" collapsed="false">
      <c r="A22" s="7" t="s">
        <v>87</v>
      </c>
      <c r="B22" s="7" t="s">
        <v>29</v>
      </c>
      <c r="C22" s="7" t="s">
        <v>19</v>
      </c>
      <c r="D22" s="7" t="s">
        <v>210</v>
      </c>
      <c r="E22" s="7" t="s">
        <v>211</v>
      </c>
      <c r="F22" s="7"/>
    </row>
    <row r="23" customFormat="false" ht="23.85" hidden="false" customHeight="false" outlineLevel="0" collapsed="false">
      <c r="A23" s="7" t="s">
        <v>87</v>
      </c>
      <c r="B23" s="7" t="s">
        <v>29</v>
      </c>
      <c r="C23" s="7" t="s">
        <v>20</v>
      </c>
      <c r="D23" s="7" t="s">
        <v>207</v>
      </c>
      <c r="E23" s="7" t="s">
        <v>212</v>
      </c>
      <c r="F23" s="7"/>
    </row>
    <row r="24" customFormat="false" ht="15" hidden="false" customHeight="false" outlineLevel="0" collapsed="false">
      <c r="A24" s="7" t="s">
        <v>87</v>
      </c>
      <c r="B24" s="7" t="s">
        <v>31</v>
      </c>
      <c r="C24" s="7" t="s">
        <v>16</v>
      </c>
      <c r="D24" s="7" t="s">
        <v>207</v>
      </c>
      <c r="E24" s="7" t="s">
        <v>206</v>
      </c>
      <c r="F24" s="7"/>
    </row>
    <row r="25" customFormat="false" ht="15" hidden="false" customHeight="false" outlineLevel="0" collapsed="false">
      <c r="A25" s="7" t="s">
        <v>87</v>
      </c>
      <c r="B25" s="7" t="s">
        <v>31</v>
      </c>
      <c r="C25" s="7" t="s">
        <v>17</v>
      </c>
      <c r="D25" s="7" t="s">
        <v>210</v>
      </c>
      <c r="E25" s="7" t="s">
        <v>213</v>
      </c>
      <c r="F25" s="7"/>
    </row>
    <row r="26" customFormat="false" ht="15" hidden="false" customHeight="false" outlineLevel="0" collapsed="false">
      <c r="A26" s="7" t="s">
        <v>87</v>
      </c>
      <c r="B26" s="7" t="s">
        <v>31</v>
      </c>
      <c r="C26" s="7" t="s">
        <v>18</v>
      </c>
      <c r="D26" s="7" t="s">
        <v>210</v>
      </c>
      <c r="E26" s="7" t="s">
        <v>214</v>
      </c>
      <c r="F26" s="7"/>
    </row>
    <row r="27" customFormat="false" ht="15" hidden="false" customHeight="false" outlineLevel="0" collapsed="false">
      <c r="A27" s="7" t="s">
        <v>87</v>
      </c>
      <c r="B27" s="7" t="s">
        <v>31</v>
      </c>
      <c r="C27" s="7" t="s">
        <v>19</v>
      </c>
      <c r="D27" s="7" t="s">
        <v>210</v>
      </c>
      <c r="E27" s="7" t="s">
        <v>215</v>
      </c>
      <c r="F27" s="7"/>
    </row>
    <row r="28" customFormat="false" ht="23.85" hidden="false" customHeight="false" outlineLevel="0" collapsed="false">
      <c r="A28" s="7" t="s">
        <v>87</v>
      </c>
      <c r="B28" s="7" t="s">
        <v>31</v>
      </c>
      <c r="C28" s="7" t="s">
        <v>20</v>
      </c>
      <c r="D28" s="7" t="s">
        <v>216</v>
      </c>
      <c r="E28" s="7" t="s">
        <v>217</v>
      </c>
      <c r="F28" s="7"/>
    </row>
    <row r="29" customFormat="false" ht="15" hidden="false" customHeight="false" outlineLevel="0" collapsed="false">
      <c r="A29" s="7" t="s">
        <v>87</v>
      </c>
      <c r="B29" s="7" t="s">
        <v>33</v>
      </c>
      <c r="C29" s="7" t="s">
        <v>16</v>
      </c>
      <c r="D29" s="7" t="s">
        <v>218</v>
      </c>
      <c r="E29" s="7" t="s">
        <v>219</v>
      </c>
      <c r="F29" s="7"/>
    </row>
    <row r="30" customFormat="false" ht="15" hidden="false" customHeight="false" outlineLevel="0" collapsed="false">
      <c r="A30" s="7" t="s">
        <v>87</v>
      </c>
      <c r="B30" s="7" t="s">
        <v>33</v>
      </c>
      <c r="C30" s="7" t="s">
        <v>17</v>
      </c>
      <c r="D30" s="7" t="s">
        <v>218</v>
      </c>
      <c r="E30" s="7" t="s">
        <v>220</v>
      </c>
      <c r="F30" s="7"/>
    </row>
    <row r="31" customFormat="false" ht="23.85" hidden="false" customHeight="false" outlineLevel="0" collapsed="false">
      <c r="A31" s="7" t="s">
        <v>87</v>
      </c>
      <c r="B31" s="7" t="s">
        <v>33</v>
      </c>
      <c r="C31" s="7" t="s">
        <v>18</v>
      </c>
      <c r="D31" s="7" t="s">
        <v>218</v>
      </c>
      <c r="E31" s="7" t="s">
        <v>221</v>
      </c>
      <c r="F31" s="7"/>
    </row>
    <row r="32" customFormat="false" ht="15" hidden="false" customHeight="false" outlineLevel="0" collapsed="false">
      <c r="A32" s="7" t="s">
        <v>87</v>
      </c>
      <c r="B32" s="7" t="s">
        <v>33</v>
      </c>
      <c r="C32" s="7" t="s">
        <v>19</v>
      </c>
      <c r="D32" s="7" t="s">
        <v>222</v>
      </c>
      <c r="E32" s="7" t="s">
        <v>223</v>
      </c>
      <c r="F32" s="7"/>
    </row>
    <row r="33" customFormat="false" ht="15" hidden="false" customHeight="false" outlineLevel="0" collapsed="false">
      <c r="A33" s="7" t="s">
        <v>87</v>
      </c>
      <c r="B33" s="7" t="s">
        <v>33</v>
      </c>
      <c r="C33" s="7" t="s">
        <v>20</v>
      </c>
      <c r="D33" s="7" t="s">
        <v>218</v>
      </c>
      <c r="E33" s="7" t="s">
        <v>224</v>
      </c>
      <c r="F33" s="7"/>
    </row>
    <row r="34" customFormat="false" ht="15" hidden="false" customHeight="false" outlineLevel="0" collapsed="false">
      <c r="A34" s="7" t="s">
        <v>87</v>
      </c>
      <c r="B34" s="7" t="s">
        <v>35</v>
      </c>
      <c r="C34" s="7" t="s">
        <v>16</v>
      </c>
      <c r="D34" s="7" t="s">
        <v>225</v>
      </c>
      <c r="E34" s="7" t="s">
        <v>226</v>
      </c>
      <c r="F34" s="7"/>
    </row>
    <row r="35" customFormat="false" ht="15" hidden="false" customHeight="false" outlineLevel="0" collapsed="false">
      <c r="A35" s="7" t="s">
        <v>87</v>
      </c>
      <c r="B35" s="7" t="s">
        <v>35</v>
      </c>
      <c r="C35" s="7" t="s">
        <v>17</v>
      </c>
      <c r="D35" s="7" t="s">
        <v>225</v>
      </c>
      <c r="E35" s="7" t="s">
        <v>226</v>
      </c>
      <c r="F35" s="7"/>
    </row>
    <row r="36" customFormat="false" ht="15" hidden="false" customHeight="false" outlineLevel="0" collapsed="false">
      <c r="A36" s="7" t="s">
        <v>87</v>
      </c>
      <c r="B36" s="7" t="s">
        <v>35</v>
      </c>
      <c r="C36" s="7" t="s">
        <v>18</v>
      </c>
      <c r="D36" s="7" t="s">
        <v>227</v>
      </c>
      <c r="E36" s="7" t="s">
        <v>228</v>
      </c>
      <c r="F36" s="7"/>
    </row>
    <row r="37" customFormat="false" ht="15" hidden="false" customHeight="false" outlineLevel="0" collapsed="false">
      <c r="A37" s="7" t="s">
        <v>87</v>
      </c>
      <c r="B37" s="7" t="s">
        <v>35</v>
      </c>
      <c r="C37" s="7" t="s">
        <v>19</v>
      </c>
      <c r="D37" s="7" t="s">
        <v>225</v>
      </c>
      <c r="E37" s="7" t="s">
        <v>229</v>
      </c>
      <c r="F37" s="7"/>
    </row>
    <row r="38" customFormat="false" ht="23.85" hidden="false" customHeight="false" outlineLevel="0" collapsed="false">
      <c r="A38" s="7" t="s">
        <v>87</v>
      </c>
      <c r="B38" s="7" t="s">
        <v>35</v>
      </c>
      <c r="C38" s="7" t="s">
        <v>20</v>
      </c>
      <c r="D38" s="7" t="s">
        <v>230</v>
      </c>
      <c r="E38" s="7" t="s">
        <v>231</v>
      </c>
      <c r="F38" s="7"/>
    </row>
    <row r="39" customFormat="false" ht="15" hidden="false" customHeight="false" outlineLevel="0" collapsed="false">
      <c r="A39" s="7" t="s">
        <v>87</v>
      </c>
      <c r="B39" s="7" t="s">
        <v>38</v>
      </c>
      <c r="C39" s="7" t="s">
        <v>16</v>
      </c>
      <c r="D39" s="7" t="s">
        <v>232</v>
      </c>
      <c r="E39" s="7" t="s">
        <v>206</v>
      </c>
      <c r="F39" s="7"/>
    </row>
    <row r="40" customFormat="false" ht="15" hidden="false" customHeight="false" outlineLevel="0" collapsed="false">
      <c r="A40" s="7" t="s">
        <v>87</v>
      </c>
      <c r="B40" s="7" t="s">
        <v>38</v>
      </c>
      <c r="C40" s="7" t="s">
        <v>17</v>
      </c>
      <c r="D40" s="7" t="s">
        <v>233</v>
      </c>
      <c r="E40" s="7" t="s">
        <v>234</v>
      </c>
      <c r="F40" s="7"/>
    </row>
    <row r="41" customFormat="false" ht="23.85" hidden="false" customHeight="false" outlineLevel="0" collapsed="false">
      <c r="A41" s="7" t="s">
        <v>87</v>
      </c>
      <c r="B41" s="7" t="s">
        <v>38</v>
      </c>
      <c r="C41" s="7" t="s">
        <v>18</v>
      </c>
      <c r="D41" s="7" t="s">
        <v>235</v>
      </c>
      <c r="E41" s="7" t="s">
        <v>236</v>
      </c>
      <c r="F41" s="7"/>
    </row>
    <row r="42" customFormat="false" ht="23.85" hidden="false" customHeight="false" outlineLevel="0" collapsed="false">
      <c r="A42" s="7" t="s">
        <v>87</v>
      </c>
      <c r="B42" s="7" t="s">
        <v>38</v>
      </c>
      <c r="C42" s="7" t="s">
        <v>19</v>
      </c>
      <c r="D42" s="7" t="s">
        <v>233</v>
      </c>
      <c r="E42" s="7" t="s">
        <v>237</v>
      </c>
      <c r="F42" s="7"/>
    </row>
    <row r="43" customFormat="false" ht="15" hidden="false" customHeight="false" outlineLevel="0" collapsed="false">
      <c r="A43" s="7" t="s">
        <v>87</v>
      </c>
      <c r="B43" s="7" t="s">
        <v>38</v>
      </c>
      <c r="C43" s="7" t="s">
        <v>20</v>
      </c>
      <c r="D43" s="7" t="s">
        <v>190</v>
      </c>
      <c r="E43" s="7" t="s">
        <v>238</v>
      </c>
      <c r="F43" s="7"/>
    </row>
    <row r="44" customFormat="false" ht="15" hidden="false" customHeight="false" outlineLevel="0" collapsed="false">
      <c r="A44" s="7" t="s">
        <v>87</v>
      </c>
      <c r="B44" s="7" t="s">
        <v>40</v>
      </c>
      <c r="C44" s="7" t="s">
        <v>16</v>
      </c>
      <c r="D44" s="7" t="s">
        <v>239</v>
      </c>
      <c r="E44" s="7" t="s">
        <v>240</v>
      </c>
      <c r="F44" s="7"/>
    </row>
    <row r="45" customFormat="false" ht="15" hidden="false" customHeight="false" outlineLevel="0" collapsed="false">
      <c r="A45" s="7" t="s">
        <v>87</v>
      </c>
      <c r="B45" s="7" t="s">
        <v>40</v>
      </c>
      <c r="C45" s="7" t="s">
        <v>17</v>
      </c>
      <c r="D45" s="7" t="s">
        <v>241</v>
      </c>
      <c r="E45" s="7" t="s">
        <v>240</v>
      </c>
      <c r="F45" s="7"/>
    </row>
    <row r="46" customFormat="false" ht="15" hidden="false" customHeight="false" outlineLevel="0" collapsed="false">
      <c r="A46" s="7" t="s">
        <v>87</v>
      </c>
      <c r="B46" s="7" t="s">
        <v>40</v>
      </c>
      <c r="C46" s="7" t="s">
        <v>18</v>
      </c>
      <c r="D46" s="7" t="s">
        <v>242</v>
      </c>
      <c r="E46" s="7" t="s">
        <v>243</v>
      </c>
      <c r="F46" s="7"/>
    </row>
    <row r="47" customFormat="false" ht="15" hidden="false" customHeight="false" outlineLevel="0" collapsed="false">
      <c r="A47" s="7" t="s">
        <v>87</v>
      </c>
      <c r="B47" s="7" t="s">
        <v>40</v>
      </c>
      <c r="C47" s="7" t="s">
        <v>19</v>
      </c>
      <c r="D47" s="7" t="s">
        <v>244</v>
      </c>
      <c r="E47" s="7" t="s">
        <v>245</v>
      </c>
      <c r="F47" s="7"/>
    </row>
    <row r="48" customFormat="false" ht="23.85" hidden="false" customHeight="false" outlineLevel="0" collapsed="false">
      <c r="A48" s="7" t="s">
        <v>87</v>
      </c>
      <c r="B48" s="7" t="s">
        <v>40</v>
      </c>
      <c r="C48" s="7" t="s">
        <v>20</v>
      </c>
      <c r="D48" s="7" t="s">
        <v>246</v>
      </c>
      <c r="E48" s="7" t="s">
        <v>247</v>
      </c>
      <c r="F48" s="7"/>
    </row>
    <row r="49" customFormat="false" ht="23.85" hidden="false" customHeight="false" outlineLevel="0" collapsed="false">
      <c r="A49" s="7" t="s">
        <v>87</v>
      </c>
      <c r="B49" s="7" t="s">
        <v>248</v>
      </c>
      <c r="C49" s="7" t="s">
        <v>16</v>
      </c>
      <c r="D49" s="7" t="s">
        <v>242</v>
      </c>
      <c r="E49" s="7" t="s">
        <v>249</v>
      </c>
      <c r="F49" s="7"/>
    </row>
    <row r="50" customFormat="false" ht="23.85" hidden="false" customHeight="false" outlineLevel="0" collapsed="false">
      <c r="A50" s="7" t="s">
        <v>87</v>
      </c>
      <c r="B50" s="7" t="s">
        <v>248</v>
      </c>
      <c r="C50" s="7" t="s">
        <v>17</v>
      </c>
      <c r="D50" s="7" t="s">
        <v>207</v>
      </c>
      <c r="E50" s="7" t="s">
        <v>250</v>
      </c>
      <c r="F50" s="7"/>
    </row>
    <row r="51" customFormat="false" ht="23.85" hidden="false" customHeight="false" outlineLevel="0" collapsed="false">
      <c r="A51" s="7" t="s">
        <v>87</v>
      </c>
      <c r="B51" s="7" t="s">
        <v>248</v>
      </c>
      <c r="C51" s="7" t="s">
        <v>18</v>
      </c>
      <c r="D51" s="7" t="s">
        <v>196</v>
      </c>
      <c r="E51" s="7" t="s">
        <v>251</v>
      </c>
      <c r="F51" s="7"/>
    </row>
    <row r="52" customFormat="false" ht="23.85" hidden="false" customHeight="false" outlineLevel="0" collapsed="false">
      <c r="A52" s="7" t="s">
        <v>87</v>
      </c>
      <c r="B52" s="7" t="s">
        <v>248</v>
      </c>
      <c r="C52" s="7" t="s">
        <v>19</v>
      </c>
      <c r="D52" s="7" t="s">
        <v>210</v>
      </c>
      <c r="E52" s="7" t="s">
        <v>252</v>
      </c>
      <c r="F52" s="7"/>
    </row>
    <row r="53" customFormat="false" ht="23.85" hidden="false" customHeight="false" outlineLevel="0" collapsed="false">
      <c r="A53" s="7" t="s">
        <v>87</v>
      </c>
      <c r="B53" s="7" t="s">
        <v>248</v>
      </c>
      <c r="C53" s="7" t="s">
        <v>20</v>
      </c>
      <c r="D53" s="7" t="s">
        <v>253</v>
      </c>
      <c r="E53" s="7" t="s">
        <v>254</v>
      </c>
      <c r="F53" s="7"/>
    </row>
    <row r="54" customFormat="false" ht="15" hidden="false" customHeight="false" outlineLevel="0" collapsed="false">
      <c r="A54" s="7" t="s">
        <v>87</v>
      </c>
      <c r="B54" s="7" t="s">
        <v>255</v>
      </c>
      <c r="C54" s="7" t="s">
        <v>16</v>
      </c>
      <c r="D54" s="7" t="s">
        <v>196</v>
      </c>
      <c r="E54" s="7" t="s">
        <v>256</v>
      </c>
      <c r="F54" s="7"/>
    </row>
    <row r="55" customFormat="false" ht="15" hidden="false" customHeight="false" outlineLevel="0" collapsed="false">
      <c r="A55" s="7" t="s">
        <v>87</v>
      </c>
      <c r="B55" s="7" t="s">
        <v>255</v>
      </c>
      <c r="C55" s="7" t="s">
        <v>17</v>
      </c>
      <c r="D55" s="7" t="s">
        <v>196</v>
      </c>
      <c r="E55" s="7" t="s">
        <v>257</v>
      </c>
      <c r="F55" s="7"/>
    </row>
    <row r="56" customFormat="false" ht="15" hidden="false" customHeight="false" outlineLevel="0" collapsed="false">
      <c r="A56" s="7" t="s">
        <v>87</v>
      </c>
      <c r="B56" s="7" t="s">
        <v>255</v>
      </c>
      <c r="C56" s="7" t="s">
        <v>18</v>
      </c>
      <c r="D56" s="7" t="s">
        <v>196</v>
      </c>
      <c r="E56" s="7" t="s">
        <v>258</v>
      </c>
      <c r="F56" s="7"/>
    </row>
    <row r="57" customFormat="false" ht="15" hidden="false" customHeight="false" outlineLevel="0" collapsed="false">
      <c r="A57" s="7" t="s">
        <v>87</v>
      </c>
      <c r="B57" s="7" t="s">
        <v>255</v>
      </c>
      <c r="C57" s="7" t="s">
        <v>19</v>
      </c>
      <c r="D57" s="7" t="s">
        <v>196</v>
      </c>
      <c r="E57" s="7" t="s">
        <v>257</v>
      </c>
      <c r="F57" s="7"/>
    </row>
    <row r="58" customFormat="false" ht="15" hidden="false" customHeight="false" outlineLevel="0" collapsed="false">
      <c r="A58" s="7" t="s">
        <v>87</v>
      </c>
      <c r="B58" s="7" t="s">
        <v>255</v>
      </c>
      <c r="C58" s="7" t="s">
        <v>20</v>
      </c>
      <c r="D58" s="7" t="s">
        <v>190</v>
      </c>
      <c r="E58" s="7" t="s">
        <v>259</v>
      </c>
      <c r="F58" s="7"/>
    </row>
    <row r="59" customFormat="false" ht="15" hidden="false" customHeight="false" outlineLevel="0" collapsed="false">
      <c r="A59" s="7" t="s">
        <v>87</v>
      </c>
      <c r="B59" s="7" t="s">
        <v>260</v>
      </c>
      <c r="C59" s="7" t="s">
        <v>16</v>
      </c>
      <c r="D59" s="7" t="s">
        <v>261</v>
      </c>
      <c r="E59" s="7" t="s">
        <v>262</v>
      </c>
      <c r="F59" s="7"/>
    </row>
    <row r="60" customFormat="false" ht="15" hidden="false" customHeight="false" outlineLevel="0" collapsed="false">
      <c r="A60" s="7" t="s">
        <v>87</v>
      </c>
      <c r="B60" s="7" t="s">
        <v>260</v>
      </c>
      <c r="C60" s="7" t="s">
        <v>17</v>
      </c>
      <c r="D60" s="7" t="s">
        <v>261</v>
      </c>
      <c r="E60" s="7" t="s">
        <v>263</v>
      </c>
      <c r="F60" s="7"/>
    </row>
    <row r="61" customFormat="false" ht="15" hidden="false" customHeight="false" outlineLevel="0" collapsed="false">
      <c r="A61" s="7" t="s">
        <v>87</v>
      </c>
      <c r="B61" s="7" t="s">
        <v>260</v>
      </c>
      <c r="C61" s="7" t="s">
        <v>18</v>
      </c>
      <c r="D61" s="7" t="s">
        <v>261</v>
      </c>
      <c r="E61" s="7" t="s">
        <v>264</v>
      </c>
      <c r="F61" s="7"/>
    </row>
    <row r="62" customFormat="false" ht="23.85" hidden="false" customHeight="false" outlineLevel="0" collapsed="false">
      <c r="A62" s="7" t="s">
        <v>87</v>
      </c>
      <c r="B62" s="7" t="s">
        <v>260</v>
      </c>
      <c r="C62" s="7" t="s">
        <v>19</v>
      </c>
      <c r="D62" s="7" t="s">
        <v>261</v>
      </c>
      <c r="E62" s="7" t="s">
        <v>265</v>
      </c>
      <c r="F62" s="7"/>
    </row>
    <row r="63" customFormat="false" ht="15" hidden="false" customHeight="false" outlineLevel="0" collapsed="false">
      <c r="A63" s="7" t="s">
        <v>87</v>
      </c>
      <c r="B63" s="7" t="s">
        <v>260</v>
      </c>
      <c r="C63" s="7" t="s">
        <v>20</v>
      </c>
      <c r="D63" s="7" t="s">
        <v>261</v>
      </c>
      <c r="E63" s="7" t="s">
        <v>266</v>
      </c>
      <c r="F63" s="7"/>
    </row>
    <row r="64" customFormat="false" ht="15" hidden="false" customHeight="false" outlineLevel="0" collapsed="false">
      <c r="A64" s="7" t="s">
        <v>87</v>
      </c>
      <c r="B64" s="7" t="s">
        <v>267</v>
      </c>
      <c r="C64" s="7" t="s">
        <v>16</v>
      </c>
      <c r="D64" s="7" t="s">
        <v>268</v>
      </c>
      <c r="E64" s="7" t="s">
        <v>269</v>
      </c>
      <c r="F64" s="7"/>
    </row>
    <row r="65" customFormat="false" ht="15" hidden="false" customHeight="false" outlineLevel="0" collapsed="false">
      <c r="A65" s="7" t="s">
        <v>87</v>
      </c>
      <c r="B65" s="7" t="s">
        <v>267</v>
      </c>
      <c r="C65" s="7" t="s">
        <v>17</v>
      </c>
      <c r="D65" s="7" t="s">
        <v>268</v>
      </c>
      <c r="E65" s="7" t="s">
        <v>270</v>
      </c>
      <c r="F65" s="7"/>
    </row>
    <row r="66" customFormat="false" ht="15" hidden="false" customHeight="false" outlineLevel="0" collapsed="false">
      <c r="A66" s="7" t="s">
        <v>87</v>
      </c>
      <c r="B66" s="7" t="s">
        <v>267</v>
      </c>
      <c r="C66" s="7" t="s">
        <v>18</v>
      </c>
      <c r="D66" s="7" t="s">
        <v>268</v>
      </c>
      <c r="E66" s="7" t="s">
        <v>271</v>
      </c>
      <c r="F66" s="7"/>
    </row>
    <row r="67" customFormat="false" ht="15" hidden="false" customHeight="false" outlineLevel="0" collapsed="false">
      <c r="A67" s="7" t="s">
        <v>87</v>
      </c>
      <c r="B67" s="7" t="s">
        <v>267</v>
      </c>
      <c r="C67" s="7" t="s">
        <v>19</v>
      </c>
      <c r="D67" s="7" t="s">
        <v>268</v>
      </c>
      <c r="E67" s="7" t="s">
        <v>272</v>
      </c>
      <c r="F67" s="7"/>
    </row>
    <row r="68" customFormat="false" ht="15" hidden="false" customHeight="false" outlineLevel="0" collapsed="false">
      <c r="A68" s="7" t="s">
        <v>87</v>
      </c>
      <c r="B68" s="7" t="s">
        <v>267</v>
      </c>
      <c r="C68" s="7" t="s">
        <v>20</v>
      </c>
      <c r="D68" s="7" t="s">
        <v>268</v>
      </c>
      <c r="E68" s="7" t="s">
        <v>273</v>
      </c>
      <c r="F68" s="7"/>
    </row>
    <row r="69" customFormat="false" ht="23.85" hidden="false" customHeight="false" outlineLevel="0" collapsed="false">
      <c r="A69" s="7" t="s">
        <v>89</v>
      </c>
      <c r="B69" s="7" t="s">
        <v>22</v>
      </c>
      <c r="C69" s="7" t="s">
        <v>16</v>
      </c>
      <c r="D69" s="7" t="s">
        <v>274</v>
      </c>
      <c r="E69" s="7" t="s">
        <v>275</v>
      </c>
      <c r="F69" s="7"/>
    </row>
    <row r="70" customFormat="false" ht="23.85" hidden="false" customHeight="false" outlineLevel="0" collapsed="false">
      <c r="A70" s="7" t="s">
        <v>89</v>
      </c>
      <c r="B70" s="7" t="s">
        <v>22</v>
      </c>
      <c r="C70" s="7" t="s">
        <v>17</v>
      </c>
      <c r="D70" s="7" t="s">
        <v>276</v>
      </c>
      <c r="E70" s="7" t="s">
        <v>277</v>
      </c>
      <c r="F70" s="7"/>
    </row>
    <row r="71" customFormat="false" ht="35.05" hidden="false" customHeight="false" outlineLevel="0" collapsed="false">
      <c r="A71" s="7" t="s">
        <v>89</v>
      </c>
      <c r="B71" s="7" t="s">
        <v>22</v>
      </c>
      <c r="C71" s="7" t="s">
        <v>18</v>
      </c>
      <c r="D71" s="7" t="s">
        <v>278</v>
      </c>
      <c r="E71" s="7" t="s">
        <v>279</v>
      </c>
      <c r="F71" s="7"/>
    </row>
    <row r="72" customFormat="false" ht="15" hidden="false" customHeight="false" outlineLevel="0" collapsed="false">
      <c r="A72" s="7" t="s">
        <v>89</v>
      </c>
      <c r="B72" s="7" t="s">
        <v>22</v>
      </c>
      <c r="C72" s="7" t="s">
        <v>20</v>
      </c>
      <c r="D72" s="7" t="s">
        <v>196</v>
      </c>
      <c r="E72" s="7" t="s">
        <v>280</v>
      </c>
      <c r="F72" s="7"/>
    </row>
    <row r="73" customFormat="false" ht="23.85" hidden="false" customHeight="false" outlineLevel="0" collapsed="false">
      <c r="A73" s="7" t="s">
        <v>89</v>
      </c>
      <c r="B73" s="7" t="s">
        <v>24</v>
      </c>
      <c r="C73" s="7" t="s">
        <v>16</v>
      </c>
      <c r="D73" s="7" t="s">
        <v>281</v>
      </c>
      <c r="E73" s="7" t="s">
        <v>282</v>
      </c>
      <c r="F73" s="7"/>
    </row>
    <row r="74" customFormat="false" ht="23.85" hidden="false" customHeight="false" outlineLevel="0" collapsed="false">
      <c r="A74" s="7" t="s">
        <v>89</v>
      </c>
      <c r="B74" s="7" t="s">
        <v>24</v>
      </c>
      <c r="C74" s="7" t="s">
        <v>17</v>
      </c>
      <c r="D74" s="7" t="s">
        <v>216</v>
      </c>
      <c r="E74" s="7" t="s">
        <v>283</v>
      </c>
      <c r="F74" s="7"/>
    </row>
    <row r="75" customFormat="false" ht="35.05" hidden="false" customHeight="false" outlineLevel="0" collapsed="false">
      <c r="A75" s="7" t="s">
        <v>89</v>
      </c>
      <c r="B75" s="7" t="s">
        <v>24</v>
      </c>
      <c r="C75" s="7" t="s">
        <v>18</v>
      </c>
      <c r="D75" s="7" t="s">
        <v>284</v>
      </c>
      <c r="E75" s="7" t="s">
        <v>285</v>
      </c>
      <c r="F75" s="7"/>
    </row>
    <row r="76" customFormat="false" ht="15" hidden="false" customHeight="false" outlineLevel="0" collapsed="false">
      <c r="A76" s="7" t="s">
        <v>89</v>
      </c>
      <c r="B76" s="7" t="s">
        <v>24</v>
      </c>
      <c r="C76" s="7" t="s">
        <v>20</v>
      </c>
      <c r="D76" s="7" t="s">
        <v>190</v>
      </c>
      <c r="E76" s="7" t="s">
        <v>286</v>
      </c>
      <c r="F76" s="7"/>
    </row>
    <row r="77" customFormat="false" ht="23.85" hidden="false" customHeight="false" outlineLevel="0" collapsed="false">
      <c r="A77" s="7" t="s">
        <v>89</v>
      </c>
      <c r="B77" s="7" t="s">
        <v>27</v>
      </c>
      <c r="C77" s="7" t="s">
        <v>16</v>
      </c>
      <c r="D77" s="7" t="s">
        <v>287</v>
      </c>
      <c r="E77" s="7" t="s">
        <v>288</v>
      </c>
      <c r="F77" s="7"/>
    </row>
    <row r="78" customFormat="false" ht="15" hidden="false" customHeight="false" outlineLevel="0" collapsed="false">
      <c r="A78" s="7" t="s">
        <v>89</v>
      </c>
      <c r="B78" s="7" t="s">
        <v>27</v>
      </c>
      <c r="C78" s="7" t="s">
        <v>17</v>
      </c>
      <c r="D78" s="7" t="s">
        <v>289</v>
      </c>
      <c r="E78" s="7" t="s">
        <v>290</v>
      </c>
      <c r="F78" s="7"/>
    </row>
    <row r="79" customFormat="false" ht="23.85" hidden="false" customHeight="false" outlineLevel="0" collapsed="false">
      <c r="A79" s="7" t="s">
        <v>89</v>
      </c>
      <c r="B79" s="7" t="s">
        <v>27</v>
      </c>
      <c r="C79" s="7" t="s">
        <v>18</v>
      </c>
      <c r="D79" s="7" t="s">
        <v>287</v>
      </c>
      <c r="E79" s="7" t="s">
        <v>291</v>
      </c>
      <c r="F79" s="7"/>
    </row>
    <row r="80" customFormat="false" ht="15" hidden="false" customHeight="false" outlineLevel="0" collapsed="false">
      <c r="A80" s="7" t="s">
        <v>89</v>
      </c>
      <c r="B80" s="7" t="s">
        <v>27</v>
      </c>
      <c r="C80" s="7" t="s">
        <v>20</v>
      </c>
      <c r="D80" s="7" t="s">
        <v>289</v>
      </c>
      <c r="E80" s="7" t="s">
        <v>292</v>
      </c>
      <c r="F80" s="7"/>
    </row>
    <row r="81" customFormat="false" ht="23.85" hidden="false" customHeight="false" outlineLevel="0" collapsed="false">
      <c r="A81" s="7" t="s">
        <v>89</v>
      </c>
      <c r="B81" s="7" t="s">
        <v>29</v>
      </c>
      <c r="C81" s="7" t="s">
        <v>16</v>
      </c>
      <c r="D81" s="7" t="s">
        <v>289</v>
      </c>
      <c r="E81" s="7" t="s">
        <v>293</v>
      </c>
      <c r="F81" s="7"/>
    </row>
    <row r="82" customFormat="false" ht="23.85" hidden="false" customHeight="false" outlineLevel="0" collapsed="false">
      <c r="A82" s="7" t="s">
        <v>89</v>
      </c>
      <c r="B82" s="7" t="s">
        <v>29</v>
      </c>
      <c r="C82" s="7" t="s">
        <v>17</v>
      </c>
      <c r="D82" s="7" t="s">
        <v>294</v>
      </c>
      <c r="E82" s="7" t="s">
        <v>295</v>
      </c>
      <c r="F82" s="7"/>
    </row>
    <row r="83" customFormat="false" ht="23.85" hidden="false" customHeight="false" outlineLevel="0" collapsed="false">
      <c r="A83" s="7" t="s">
        <v>89</v>
      </c>
      <c r="B83" s="7" t="s">
        <v>29</v>
      </c>
      <c r="C83" s="7" t="s">
        <v>18</v>
      </c>
      <c r="D83" s="7" t="s">
        <v>289</v>
      </c>
      <c r="E83" s="7" t="s">
        <v>296</v>
      </c>
      <c r="F83" s="7"/>
    </row>
    <row r="84" customFormat="false" ht="23.85" hidden="false" customHeight="false" outlineLevel="0" collapsed="false">
      <c r="A84" s="7" t="s">
        <v>89</v>
      </c>
      <c r="B84" s="7" t="s">
        <v>29</v>
      </c>
      <c r="C84" s="7" t="s">
        <v>20</v>
      </c>
      <c r="D84" s="7" t="s">
        <v>294</v>
      </c>
      <c r="E84" s="7" t="s">
        <v>297</v>
      </c>
      <c r="F84" s="7"/>
    </row>
    <row r="85" customFormat="false" ht="23.85" hidden="false" customHeight="false" outlineLevel="0" collapsed="false">
      <c r="A85" s="7" t="s">
        <v>89</v>
      </c>
      <c r="B85" s="7" t="s">
        <v>31</v>
      </c>
      <c r="C85" s="7" t="s">
        <v>16</v>
      </c>
      <c r="D85" s="7" t="s">
        <v>289</v>
      </c>
      <c r="E85" s="7" t="s">
        <v>298</v>
      </c>
      <c r="F85" s="7"/>
    </row>
    <row r="86" customFormat="false" ht="23.85" hidden="false" customHeight="false" outlineLevel="0" collapsed="false">
      <c r="A86" s="7" t="s">
        <v>89</v>
      </c>
      <c r="B86" s="7" t="s">
        <v>31</v>
      </c>
      <c r="C86" s="7" t="s">
        <v>17</v>
      </c>
      <c r="D86" s="7" t="s">
        <v>299</v>
      </c>
      <c r="E86" s="7" t="s">
        <v>300</v>
      </c>
      <c r="F86" s="7"/>
    </row>
    <row r="87" customFormat="false" ht="23.85" hidden="false" customHeight="false" outlineLevel="0" collapsed="false">
      <c r="A87" s="7" t="s">
        <v>89</v>
      </c>
      <c r="B87" s="7" t="s">
        <v>31</v>
      </c>
      <c r="C87" s="7" t="s">
        <v>18</v>
      </c>
      <c r="D87" s="7" t="s">
        <v>299</v>
      </c>
      <c r="E87" s="7" t="s">
        <v>301</v>
      </c>
      <c r="F87" s="7"/>
    </row>
    <row r="88" customFormat="false" ht="23.85" hidden="false" customHeight="false" outlineLevel="0" collapsed="false">
      <c r="A88" s="7" t="s">
        <v>89</v>
      </c>
      <c r="B88" s="7" t="s">
        <v>31</v>
      </c>
      <c r="C88" s="7" t="s">
        <v>20</v>
      </c>
      <c r="D88" s="7" t="s">
        <v>299</v>
      </c>
      <c r="E88" s="7" t="s">
        <v>302</v>
      </c>
      <c r="F88" s="7"/>
    </row>
    <row r="89" customFormat="false" ht="23.85" hidden="false" customHeight="false" outlineLevel="0" collapsed="false">
      <c r="A89" s="7" t="s">
        <v>89</v>
      </c>
      <c r="B89" s="7" t="s">
        <v>33</v>
      </c>
      <c r="C89" s="7" t="s">
        <v>16</v>
      </c>
      <c r="D89" s="7" t="s">
        <v>303</v>
      </c>
      <c r="E89" s="7" t="s">
        <v>304</v>
      </c>
      <c r="F89" s="7"/>
    </row>
    <row r="90" customFormat="false" ht="23.85" hidden="false" customHeight="false" outlineLevel="0" collapsed="false">
      <c r="A90" s="7" t="s">
        <v>89</v>
      </c>
      <c r="B90" s="7" t="s">
        <v>33</v>
      </c>
      <c r="C90" s="7" t="s">
        <v>17</v>
      </c>
      <c r="D90" s="7" t="s">
        <v>305</v>
      </c>
      <c r="E90" s="7" t="s">
        <v>306</v>
      </c>
      <c r="F90" s="7"/>
    </row>
    <row r="91" customFormat="false" ht="35.05" hidden="false" customHeight="false" outlineLevel="0" collapsed="false">
      <c r="A91" s="7" t="s">
        <v>89</v>
      </c>
      <c r="B91" s="7" t="s">
        <v>33</v>
      </c>
      <c r="C91" s="7" t="s">
        <v>18</v>
      </c>
      <c r="D91" s="7" t="s">
        <v>307</v>
      </c>
      <c r="E91" s="7" t="s">
        <v>308</v>
      </c>
      <c r="F91" s="7"/>
    </row>
    <row r="92" customFormat="false" ht="23.85" hidden="false" customHeight="false" outlineLevel="0" collapsed="false">
      <c r="A92" s="7" t="s">
        <v>89</v>
      </c>
      <c r="B92" s="7" t="s">
        <v>33</v>
      </c>
      <c r="C92" s="7" t="s">
        <v>20</v>
      </c>
      <c r="D92" s="7" t="s">
        <v>309</v>
      </c>
      <c r="E92" s="7" t="s">
        <v>310</v>
      </c>
      <c r="F92" s="7"/>
    </row>
    <row r="93" customFormat="false" ht="23.85" hidden="false" customHeight="false" outlineLevel="0" collapsed="false">
      <c r="A93" s="7" t="s">
        <v>89</v>
      </c>
      <c r="B93" s="7" t="s">
        <v>35</v>
      </c>
      <c r="C93" s="7" t="s">
        <v>16</v>
      </c>
      <c r="D93" s="7" t="s">
        <v>196</v>
      </c>
      <c r="E93" s="7" t="s">
        <v>311</v>
      </c>
      <c r="F93" s="7"/>
    </row>
    <row r="94" customFormat="false" ht="15" hidden="false" customHeight="false" outlineLevel="0" collapsed="false">
      <c r="A94" s="7" t="s">
        <v>89</v>
      </c>
      <c r="B94" s="7" t="s">
        <v>35</v>
      </c>
      <c r="C94" s="7" t="s">
        <v>17</v>
      </c>
      <c r="D94" s="7" t="s">
        <v>305</v>
      </c>
      <c r="E94" s="7" t="s">
        <v>312</v>
      </c>
      <c r="F94" s="7"/>
    </row>
    <row r="95" customFormat="false" ht="23.85" hidden="false" customHeight="false" outlineLevel="0" collapsed="false">
      <c r="A95" s="7" t="s">
        <v>89</v>
      </c>
      <c r="B95" s="7" t="s">
        <v>35</v>
      </c>
      <c r="C95" s="7" t="s">
        <v>18</v>
      </c>
      <c r="D95" s="7" t="s">
        <v>313</v>
      </c>
      <c r="E95" s="7" t="s">
        <v>314</v>
      </c>
      <c r="F95" s="7"/>
    </row>
    <row r="96" customFormat="false" ht="23.85" hidden="false" customHeight="false" outlineLevel="0" collapsed="false">
      <c r="A96" s="7" t="s">
        <v>89</v>
      </c>
      <c r="B96" s="7" t="s">
        <v>35</v>
      </c>
      <c r="C96" s="7" t="s">
        <v>20</v>
      </c>
      <c r="D96" s="7" t="s">
        <v>313</v>
      </c>
      <c r="E96" s="7" t="s">
        <v>315</v>
      </c>
      <c r="F96" s="7"/>
    </row>
    <row r="97" customFormat="false" ht="23.85" hidden="false" customHeight="false" outlineLevel="0" collapsed="false">
      <c r="A97" s="7" t="s">
        <v>89</v>
      </c>
      <c r="B97" s="7" t="s">
        <v>38</v>
      </c>
      <c r="C97" s="7" t="s">
        <v>16</v>
      </c>
      <c r="D97" s="7" t="s">
        <v>235</v>
      </c>
      <c r="E97" s="7" t="s">
        <v>316</v>
      </c>
      <c r="F97" s="7"/>
    </row>
    <row r="98" customFormat="false" ht="15" hidden="false" customHeight="false" outlineLevel="0" collapsed="false">
      <c r="A98" s="7" t="s">
        <v>89</v>
      </c>
      <c r="B98" s="7" t="s">
        <v>38</v>
      </c>
      <c r="C98" s="7" t="s">
        <v>17</v>
      </c>
      <c r="D98" s="7" t="s">
        <v>233</v>
      </c>
      <c r="E98" s="7" t="s">
        <v>317</v>
      </c>
      <c r="F98" s="7"/>
    </row>
    <row r="99" customFormat="false" ht="23.85" hidden="false" customHeight="false" outlineLevel="0" collapsed="false">
      <c r="A99" s="7" t="s">
        <v>89</v>
      </c>
      <c r="B99" s="7" t="s">
        <v>38</v>
      </c>
      <c r="C99" s="7" t="s">
        <v>18</v>
      </c>
      <c r="D99" s="7" t="s">
        <v>318</v>
      </c>
      <c r="E99" s="7" t="s">
        <v>319</v>
      </c>
      <c r="F99" s="7"/>
    </row>
    <row r="100" customFormat="false" ht="15" hidden="false" customHeight="false" outlineLevel="0" collapsed="false">
      <c r="A100" s="7" t="s">
        <v>89</v>
      </c>
      <c r="B100" s="7" t="s">
        <v>38</v>
      </c>
      <c r="C100" s="7" t="s">
        <v>20</v>
      </c>
      <c r="D100" s="7" t="s">
        <v>190</v>
      </c>
      <c r="E100" s="7" t="s">
        <v>320</v>
      </c>
      <c r="F100" s="7"/>
    </row>
    <row r="101" customFormat="false" ht="23.85" hidden="false" customHeight="false" outlineLevel="0" collapsed="false">
      <c r="A101" s="7" t="s">
        <v>89</v>
      </c>
      <c r="B101" s="7" t="s">
        <v>40</v>
      </c>
      <c r="C101" s="7" t="s">
        <v>16</v>
      </c>
      <c r="D101" s="7" t="s">
        <v>321</v>
      </c>
      <c r="E101" s="7" t="s">
        <v>322</v>
      </c>
      <c r="F101" s="7"/>
    </row>
    <row r="102" customFormat="false" ht="15" hidden="false" customHeight="false" outlineLevel="0" collapsed="false">
      <c r="A102" s="7" t="s">
        <v>89</v>
      </c>
      <c r="B102" s="7" t="s">
        <v>40</v>
      </c>
      <c r="C102" s="7" t="s">
        <v>17</v>
      </c>
      <c r="D102" s="7" t="s">
        <v>323</v>
      </c>
      <c r="E102" s="7" t="s">
        <v>324</v>
      </c>
      <c r="F102" s="7"/>
    </row>
    <row r="103" customFormat="false" ht="23.85" hidden="false" customHeight="false" outlineLevel="0" collapsed="false">
      <c r="A103" s="7" t="s">
        <v>89</v>
      </c>
      <c r="B103" s="7" t="s">
        <v>40</v>
      </c>
      <c r="C103" s="7" t="s">
        <v>18</v>
      </c>
      <c r="D103" s="7" t="s">
        <v>321</v>
      </c>
      <c r="E103" s="7" t="s">
        <v>325</v>
      </c>
      <c r="F103" s="7"/>
    </row>
    <row r="104" customFormat="false" ht="15" hidden="false" customHeight="false" outlineLevel="0" collapsed="false">
      <c r="A104" s="7" t="s">
        <v>89</v>
      </c>
      <c r="B104" s="7" t="s">
        <v>40</v>
      </c>
      <c r="C104" s="7" t="s">
        <v>20</v>
      </c>
      <c r="D104" s="7" t="s">
        <v>294</v>
      </c>
      <c r="E104" s="7" t="s">
        <v>326</v>
      </c>
      <c r="F104" s="7"/>
    </row>
    <row r="105" customFormat="false" ht="23.85" hidden="false" customHeight="false" outlineLevel="0" collapsed="false">
      <c r="A105" s="7" t="s">
        <v>89</v>
      </c>
      <c r="B105" s="7" t="s">
        <v>248</v>
      </c>
      <c r="C105" s="7" t="s">
        <v>16</v>
      </c>
      <c r="D105" s="7" t="s">
        <v>321</v>
      </c>
      <c r="E105" s="7" t="s">
        <v>327</v>
      </c>
      <c r="F105" s="7"/>
    </row>
    <row r="106" customFormat="false" ht="23.85" hidden="false" customHeight="false" outlineLevel="0" collapsed="false">
      <c r="A106" s="7" t="s">
        <v>89</v>
      </c>
      <c r="B106" s="7" t="s">
        <v>248</v>
      </c>
      <c r="C106" s="7" t="s">
        <v>17</v>
      </c>
      <c r="D106" s="7" t="s">
        <v>328</v>
      </c>
      <c r="E106" s="7" t="s">
        <v>329</v>
      </c>
      <c r="F106" s="7"/>
    </row>
    <row r="107" customFormat="false" ht="23.85" hidden="false" customHeight="false" outlineLevel="0" collapsed="false">
      <c r="A107" s="7" t="s">
        <v>89</v>
      </c>
      <c r="B107" s="7" t="s">
        <v>248</v>
      </c>
      <c r="C107" s="7" t="s">
        <v>18</v>
      </c>
      <c r="D107" s="7" t="s">
        <v>287</v>
      </c>
      <c r="E107" s="7" t="s">
        <v>330</v>
      </c>
      <c r="F107" s="7"/>
    </row>
    <row r="108" customFormat="false" ht="23.85" hidden="false" customHeight="false" outlineLevel="0" collapsed="false">
      <c r="A108" s="7" t="s">
        <v>89</v>
      </c>
      <c r="B108" s="7" t="s">
        <v>248</v>
      </c>
      <c r="C108" s="7" t="s">
        <v>20</v>
      </c>
      <c r="D108" s="7" t="s">
        <v>294</v>
      </c>
      <c r="E108" s="7" t="s">
        <v>331</v>
      </c>
      <c r="F108" s="7"/>
    </row>
    <row r="109" customFormat="false" ht="15" hidden="false" customHeight="false" outlineLevel="0" collapsed="false">
      <c r="A109" s="7" t="s">
        <v>89</v>
      </c>
      <c r="B109" s="7" t="s">
        <v>255</v>
      </c>
      <c r="C109" s="7" t="s">
        <v>16</v>
      </c>
      <c r="D109" s="7" t="s">
        <v>196</v>
      </c>
      <c r="E109" s="7" t="s">
        <v>332</v>
      </c>
      <c r="F109" s="7"/>
    </row>
    <row r="110" customFormat="false" ht="15" hidden="false" customHeight="false" outlineLevel="0" collapsed="false">
      <c r="A110" s="7" t="s">
        <v>89</v>
      </c>
      <c r="B110" s="7" t="s">
        <v>255</v>
      </c>
      <c r="C110" s="7" t="s">
        <v>17</v>
      </c>
      <c r="D110" s="7" t="s">
        <v>196</v>
      </c>
      <c r="E110" s="7" t="s">
        <v>333</v>
      </c>
      <c r="F110" s="7"/>
    </row>
    <row r="111" customFormat="false" ht="15" hidden="false" customHeight="false" outlineLevel="0" collapsed="false">
      <c r="A111" s="7" t="s">
        <v>89</v>
      </c>
      <c r="B111" s="7" t="s">
        <v>255</v>
      </c>
      <c r="C111" s="7" t="s">
        <v>18</v>
      </c>
      <c r="D111" s="7" t="s">
        <v>196</v>
      </c>
      <c r="E111" s="7" t="s">
        <v>334</v>
      </c>
      <c r="F111" s="7"/>
    </row>
    <row r="112" customFormat="false" ht="15" hidden="false" customHeight="false" outlineLevel="0" collapsed="false">
      <c r="A112" s="7" t="s">
        <v>89</v>
      </c>
      <c r="B112" s="7" t="s">
        <v>255</v>
      </c>
      <c r="C112" s="7" t="s">
        <v>20</v>
      </c>
      <c r="D112" s="7" t="s">
        <v>190</v>
      </c>
      <c r="E112" s="7" t="s">
        <v>335</v>
      </c>
      <c r="F112" s="7"/>
    </row>
    <row r="113" customFormat="false" ht="23.85" hidden="false" customHeight="false" outlineLevel="0" collapsed="false">
      <c r="A113" s="7" t="s">
        <v>89</v>
      </c>
      <c r="B113" s="7" t="s">
        <v>260</v>
      </c>
      <c r="C113" s="7" t="s">
        <v>16</v>
      </c>
      <c r="D113" s="7" t="s">
        <v>261</v>
      </c>
      <c r="E113" s="7" t="s">
        <v>336</v>
      </c>
      <c r="F113" s="7"/>
    </row>
    <row r="114" customFormat="false" ht="15" hidden="false" customHeight="false" outlineLevel="0" collapsed="false">
      <c r="A114" s="7" t="s">
        <v>89</v>
      </c>
      <c r="B114" s="7" t="s">
        <v>260</v>
      </c>
      <c r="C114" s="7" t="s">
        <v>17</v>
      </c>
      <c r="D114" s="7" t="s">
        <v>261</v>
      </c>
      <c r="E114" s="7" t="s">
        <v>337</v>
      </c>
      <c r="F114" s="7"/>
    </row>
    <row r="115" customFormat="false" ht="15" hidden="false" customHeight="false" outlineLevel="0" collapsed="false">
      <c r="A115" s="7" t="s">
        <v>89</v>
      </c>
      <c r="B115" s="7" t="s">
        <v>260</v>
      </c>
      <c r="C115" s="7" t="s">
        <v>18</v>
      </c>
      <c r="D115" s="7" t="s">
        <v>261</v>
      </c>
      <c r="E115" s="7" t="s">
        <v>338</v>
      </c>
      <c r="F115" s="7"/>
    </row>
    <row r="116" customFormat="false" ht="15" hidden="false" customHeight="false" outlineLevel="0" collapsed="false">
      <c r="A116" s="7" t="s">
        <v>89</v>
      </c>
      <c r="B116" s="7" t="s">
        <v>260</v>
      </c>
      <c r="C116" s="7" t="s">
        <v>20</v>
      </c>
      <c r="D116" s="7" t="s">
        <v>261</v>
      </c>
      <c r="E116" s="7" t="s">
        <v>339</v>
      </c>
      <c r="F116" s="7"/>
    </row>
    <row r="117" customFormat="false" ht="15" hidden="false" customHeight="false" outlineLevel="0" collapsed="false">
      <c r="A117" s="7" t="s">
        <v>89</v>
      </c>
      <c r="B117" s="7" t="s">
        <v>267</v>
      </c>
      <c r="C117" s="7" t="s">
        <v>17</v>
      </c>
      <c r="D117" s="7" t="s">
        <v>268</v>
      </c>
      <c r="E117" s="7" t="s">
        <v>340</v>
      </c>
      <c r="F117" s="7"/>
    </row>
    <row r="118" customFormat="false" ht="15" hidden="false" customHeight="false" outlineLevel="0" collapsed="false">
      <c r="A118" s="7" t="s">
        <v>89</v>
      </c>
      <c r="B118" s="7" t="s">
        <v>267</v>
      </c>
      <c r="C118" s="7" t="s">
        <v>18</v>
      </c>
      <c r="D118" s="7" t="s">
        <v>268</v>
      </c>
      <c r="E118" s="7" t="s">
        <v>341</v>
      </c>
      <c r="F118" s="7"/>
    </row>
    <row r="119" customFormat="false" ht="15" hidden="false" customHeight="false" outlineLevel="0" collapsed="false">
      <c r="A119" s="7" t="s">
        <v>89</v>
      </c>
      <c r="B119" s="7" t="s">
        <v>267</v>
      </c>
      <c r="C119" s="7" t="s">
        <v>20</v>
      </c>
      <c r="D119" s="7" t="s">
        <v>268</v>
      </c>
      <c r="E119" s="7" t="s">
        <v>342</v>
      </c>
      <c r="F119" s="7"/>
    </row>
    <row r="120" customFormat="false" ht="35.05" hidden="false" customHeight="false" outlineLevel="0" collapsed="false">
      <c r="A120" s="7" t="s">
        <v>92</v>
      </c>
      <c r="B120" s="7" t="s">
        <v>22</v>
      </c>
      <c r="C120" s="7" t="s">
        <v>16</v>
      </c>
      <c r="D120" s="7" t="s">
        <v>343</v>
      </c>
      <c r="E120" s="7" t="s">
        <v>344</v>
      </c>
      <c r="F120" s="7"/>
    </row>
    <row r="121" customFormat="false" ht="23.85" hidden="false" customHeight="false" outlineLevel="0" collapsed="false">
      <c r="A121" s="7" t="s">
        <v>92</v>
      </c>
      <c r="B121" s="7" t="s">
        <v>22</v>
      </c>
      <c r="C121" s="7" t="s">
        <v>17</v>
      </c>
      <c r="D121" s="7" t="s">
        <v>345</v>
      </c>
      <c r="E121" s="7" t="s">
        <v>346</v>
      </c>
      <c r="F121" s="7"/>
    </row>
    <row r="122" customFormat="false" ht="35.05" hidden="false" customHeight="false" outlineLevel="0" collapsed="false">
      <c r="A122" s="7" t="s">
        <v>92</v>
      </c>
      <c r="B122" s="7" t="s">
        <v>22</v>
      </c>
      <c r="C122" s="7" t="s">
        <v>18</v>
      </c>
      <c r="D122" s="7" t="s">
        <v>347</v>
      </c>
      <c r="E122" s="7" t="s">
        <v>348</v>
      </c>
      <c r="F122" s="7"/>
    </row>
    <row r="123" customFormat="false" ht="23.85" hidden="false" customHeight="false" outlineLevel="0" collapsed="false">
      <c r="A123" s="7" t="s">
        <v>92</v>
      </c>
      <c r="B123" s="7" t="s">
        <v>22</v>
      </c>
      <c r="C123" s="7" t="s">
        <v>19</v>
      </c>
      <c r="D123" s="7" t="s">
        <v>343</v>
      </c>
      <c r="E123" s="7" t="s">
        <v>349</v>
      </c>
      <c r="F123" s="7"/>
    </row>
    <row r="124" customFormat="false" ht="15" hidden="false" customHeight="false" outlineLevel="0" collapsed="false">
      <c r="A124" s="7" t="s">
        <v>92</v>
      </c>
      <c r="B124" s="7" t="s">
        <v>22</v>
      </c>
      <c r="C124" s="7" t="s">
        <v>20</v>
      </c>
      <c r="D124" s="7" t="s">
        <v>196</v>
      </c>
      <c r="E124" s="7" t="s">
        <v>350</v>
      </c>
      <c r="F124" s="7"/>
    </row>
    <row r="125" customFormat="false" ht="35.05" hidden="false" customHeight="false" outlineLevel="0" collapsed="false">
      <c r="A125" s="7" t="s">
        <v>92</v>
      </c>
      <c r="B125" s="7" t="s">
        <v>24</v>
      </c>
      <c r="C125" s="7" t="s">
        <v>16</v>
      </c>
      <c r="D125" s="7" t="s">
        <v>351</v>
      </c>
      <c r="E125" s="7" t="s">
        <v>352</v>
      </c>
      <c r="F125" s="7"/>
    </row>
    <row r="126" customFormat="false" ht="23.85" hidden="false" customHeight="false" outlineLevel="0" collapsed="false">
      <c r="A126" s="7" t="s">
        <v>92</v>
      </c>
      <c r="B126" s="7" t="s">
        <v>24</v>
      </c>
      <c r="C126" s="7" t="s">
        <v>17</v>
      </c>
      <c r="D126" s="7" t="s">
        <v>353</v>
      </c>
      <c r="E126" s="7" t="s">
        <v>354</v>
      </c>
      <c r="F126" s="7"/>
    </row>
    <row r="127" customFormat="false" ht="35.05" hidden="false" customHeight="false" outlineLevel="0" collapsed="false">
      <c r="A127" s="7" t="s">
        <v>92</v>
      </c>
      <c r="B127" s="7" t="s">
        <v>24</v>
      </c>
      <c r="C127" s="7" t="s">
        <v>18</v>
      </c>
      <c r="D127" s="7" t="s">
        <v>284</v>
      </c>
      <c r="E127" s="7" t="s">
        <v>355</v>
      </c>
      <c r="F127" s="7"/>
    </row>
    <row r="128" customFormat="false" ht="23.85" hidden="false" customHeight="false" outlineLevel="0" collapsed="false">
      <c r="A128" s="7" t="s">
        <v>92</v>
      </c>
      <c r="B128" s="7" t="s">
        <v>24</v>
      </c>
      <c r="C128" s="7" t="s">
        <v>19</v>
      </c>
      <c r="D128" s="7" t="s">
        <v>281</v>
      </c>
      <c r="E128" s="7" t="s">
        <v>356</v>
      </c>
      <c r="F128" s="7"/>
    </row>
    <row r="129" customFormat="false" ht="15" hidden="false" customHeight="false" outlineLevel="0" collapsed="false">
      <c r="A129" s="7" t="s">
        <v>92</v>
      </c>
      <c r="B129" s="7" t="s">
        <v>24</v>
      </c>
      <c r="C129" s="7" t="s">
        <v>20</v>
      </c>
      <c r="D129" s="7" t="s">
        <v>190</v>
      </c>
      <c r="E129" s="7" t="s">
        <v>357</v>
      </c>
      <c r="F129" s="7"/>
    </row>
    <row r="130" customFormat="false" ht="23.85" hidden="false" customHeight="false" outlineLevel="0" collapsed="false">
      <c r="A130" s="7" t="s">
        <v>92</v>
      </c>
      <c r="B130" s="7" t="s">
        <v>27</v>
      </c>
      <c r="C130" s="7" t="s">
        <v>16</v>
      </c>
      <c r="D130" s="7" t="s">
        <v>328</v>
      </c>
      <c r="E130" s="7" t="s">
        <v>358</v>
      </c>
      <c r="F130" s="7"/>
    </row>
    <row r="131" customFormat="false" ht="23.85" hidden="false" customHeight="false" outlineLevel="0" collapsed="false">
      <c r="A131" s="7" t="s">
        <v>92</v>
      </c>
      <c r="B131" s="7" t="s">
        <v>27</v>
      </c>
      <c r="C131" s="7" t="s">
        <v>17</v>
      </c>
      <c r="D131" s="7" t="s">
        <v>328</v>
      </c>
      <c r="E131" s="7" t="s">
        <v>359</v>
      </c>
      <c r="F131" s="7"/>
    </row>
    <row r="132" customFormat="false" ht="23.85" hidden="false" customHeight="false" outlineLevel="0" collapsed="false">
      <c r="A132" s="7" t="s">
        <v>92</v>
      </c>
      <c r="B132" s="7" t="s">
        <v>27</v>
      </c>
      <c r="C132" s="7" t="s">
        <v>18</v>
      </c>
      <c r="D132" s="7" t="s">
        <v>328</v>
      </c>
      <c r="E132" s="7" t="s">
        <v>360</v>
      </c>
      <c r="F132" s="7"/>
    </row>
    <row r="133" customFormat="false" ht="15" hidden="false" customHeight="false" outlineLevel="0" collapsed="false">
      <c r="A133" s="7" t="s">
        <v>92</v>
      </c>
      <c r="B133" s="7" t="s">
        <v>27</v>
      </c>
      <c r="C133" s="7" t="s">
        <v>19</v>
      </c>
      <c r="D133" s="7" t="s">
        <v>328</v>
      </c>
      <c r="E133" s="7" t="s">
        <v>361</v>
      </c>
      <c r="F133" s="7"/>
    </row>
    <row r="134" customFormat="false" ht="23.85" hidden="false" customHeight="false" outlineLevel="0" collapsed="false">
      <c r="A134" s="7" t="s">
        <v>92</v>
      </c>
      <c r="B134" s="7" t="s">
        <v>27</v>
      </c>
      <c r="C134" s="7" t="s">
        <v>20</v>
      </c>
      <c r="D134" s="7" t="s">
        <v>328</v>
      </c>
      <c r="E134" s="7" t="s">
        <v>362</v>
      </c>
      <c r="F134" s="7"/>
    </row>
    <row r="135" customFormat="false" ht="15" hidden="false" customHeight="false" outlineLevel="0" collapsed="false">
      <c r="A135" s="7" t="s">
        <v>92</v>
      </c>
      <c r="B135" s="7" t="s">
        <v>29</v>
      </c>
      <c r="C135" s="7" t="s">
        <v>16</v>
      </c>
      <c r="D135" s="7" t="s">
        <v>328</v>
      </c>
      <c r="E135" s="7" t="s">
        <v>363</v>
      </c>
      <c r="F135" s="7"/>
    </row>
    <row r="136" customFormat="false" ht="23.85" hidden="false" customHeight="false" outlineLevel="0" collapsed="false">
      <c r="A136" s="7" t="s">
        <v>92</v>
      </c>
      <c r="B136" s="7" t="s">
        <v>29</v>
      </c>
      <c r="C136" s="7" t="s">
        <v>17</v>
      </c>
      <c r="D136" s="7" t="s">
        <v>328</v>
      </c>
      <c r="E136" s="7" t="s">
        <v>364</v>
      </c>
      <c r="F136" s="7"/>
    </row>
    <row r="137" customFormat="false" ht="15" hidden="false" customHeight="false" outlineLevel="0" collapsed="false">
      <c r="A137" s="7" t="s">
        <v>92</v>
      </c>
      <c r="B137" s="7" t="s">
        <v>29</v>
      </c>
      <c r="C137" s="7" t="s">
        <v>18</v>
      </c>
      <c r="D137" s="7" t="s">
        <v>328</v>
      </c>
      <c r="E137" s="7" t="s">
        <v>365</v>
      </c>
      <c r="F137" s="7"/>
    </row>
    <row r="138" customFormat="false" ht="15" hidden="false" customHeight="false" outlineLevel="0" collapsed="false">
      <c r="A138" s="7" t="s">
        <v>92</v>
      </c>
      <c r="B138" s="7" t="s">
        <v>29</v>
      </c>
      <c r="C138" s="7" t="s">
        <v>19</v>
      </c>
      <c r="D138" s="7" t="s">
        <v>328</v>
      </c>
      <c r="E138" s="7" t="s">
        <v>366</v>
      </c>
      <c r="F138" s="7"/>
    </row>
    <row r="139" customFormat="false" ht="23.85" hidden="false" customHeight="false" outlineLevel="0" collapsed="false">
      <c r="A139" s="7" t="s">
        <v>92</v>
      </c>
      <c r="B139" s="7" t="s">
        <v>29</v>
      </c>
      <c r="C139" s="7" t="s">
        <v>20</v>
      </c>
      <c r="D139" s="7" t="s">
        <v>299</v>
      </c>
      <c r="E139" s="7" t="s">
        <v>367</v>
      </c>
      <c r="F139" s="7"/>
    </row>
    <row r="140" customFormat="false" ht="23.85" hidden="false" customHeight="false" outlineLevel="0" collapsed="false">
      <c r="A140" s="7" t="s">
        <v>92</v>
      </c>
      <c r="B140" s="7" t="s">
        <v>31</v>
      </c>
      <c r="C140" s="7" t="s">
        <v>16</v>
      </c>
      <c r="D140" s="7" t="s">
        <v>190</v>
      </c>
      <c r="E140" s="7" t="s">
        <v>368</v>
      </c>
      <c r="F140" s="7"/>
    </row>
    <row r="141" customFormat="false" ht="15" hidden="false" customHeight="false" outlineLevel="0" collapsed="false">
      <c r="A141" s="7" t="s">
        <v>92</v>
      </c>
      <c r="B141" s="7" t="s">
        <v>31</v>
      </c>
      <c r="C141" s="7" t="s">
        <v>17</v>
      </c>
      <c r="D141" s="7" t="s">
        <v>190</v>
      </c>
      <c r="E141" s="7" t="s">
        <v>369</v>
      </c>
      <c r="F141" s="7"/>
    </row>
    <row r="142" customFormat="false" ht="15" hidden="false" customHeight="false" outlineLevel="0" collapsed="false">
      <c r="A142" s="7" t="s">
        <v>92</v>
      </c>
      <c r="B142" s="7" t="s">
        <v>31</v>
      </c>
      <c r="C142" s="7" t="s">
        <v>18</v>
      </c>
      <c r="D142" s="7" t="s">
        <v>190</v>
      </c>
      <c r="E142" s="7" t="s">
        <v>370</v>
      </c>
      <c r="F142" s="7"/>
    </row>
    <row r="143" customFormat="false" ht="15" hidden="false" customHeight="false" outlineLevel="0" collapsed="false">
      <c r="A143" s="7" t="s">
        <v>92</v>
      </c>
      <c r="B143" s="7" t="s">
        <v>31</v>
      </c>
      <c r="C143" s="7" t="s">
        <v>19</v>
      </c>
      <c r="D143" s="7" t="s">
        <v>190</v>
      </c>
      <c r="E143" s="7" t="s">
        <v>371</v>
      </c>
      <c r="F143" s="7"/>
    </row>
    <row r="144" customFormat="false" ht="15" hidden="false" customHeight="false" outlineLevel="0" collapsed="false">
      <c r="A144" s="7" t="s">
        <v>92</v>
      </c>
      <c r="B144" s="7" t="s">
        <v>31</v>
      </c>
      <c r="C144" s="7" t="s">
        <v>20</v>
      </c>
      <c r="D144" s="7" t="s">
        <v>190</v>
      </c>
      <c r="E144" s="7" t="s">
        <v>372</v>
      </c>
      <c r="F144" s="7"/>
    </row>
    <row r="145" customFormat="false" ht="23.85" hidden="false" customHeight="false" outlineLevel="0" collapsed="false">
      <c r="A145" s="7" t="s">
        <v>92</v>
      </c>
      <c r="B145" s="7" t="s">
        <v>33</v>
      </c>
      <c r="C145" s="7" t="s">
        <v>16</v>
      </c>
      <c r="D145" s="7" t="s">
        <v>373</v>
      </c>
      <c r="E145" s="7" t="s">
        <v>374</v>
      </c>
      <c r="F145" s="7"/>
    </row>
    <row r="146" customFormat="false" ht="23.85" hidden="false" customHeight="false" outlineLevel="0" collapsed="false">
      <c r="A146" s="7" t="s">
        <v>92</v>
      </c>
      <c r="B146" s="7" t="s">
        <v>33</v>
      </c>
      <c r="C146" s="7" t="s">
        <v>17</v>
      </c>
      <c r="D146" s="7" t="s">
        <v>375</v>
      </c>
      <c r="E146" s="7" t="s">
        <v>376</v>
      </c>
      <c r="F146" s="7"/>
    </row>
    <row r="147" customFormat="false" ht="23.85" hidden="false" customHeight="false" outlineLevel="0" collapsed="false">
      <c r="A147" s="7" t="s">
        <v>92</v>
      </c>
      <c r="B147" s="7" t="s">
        <v>33</v>
      </c>
      <c r="C147" s="7" t="s">
        <v>18</v>
      </c>
      <c r="D147" s="7" t="s">
        <v>373</v>
      </c>
      <c r="E147" s="7" t="s">
        <v>377</v>
      </c>
      <c r="F147" s="7"/>
    </row>
    <row r="148" customFormat="false" ht="23.85" hidden="false" customHeight="false" outlineLevel="0" collapsed="false">
      <c r="A148" s="7" t="s">
        <v>92</v>
      </c>
      <c r="B148" s="7" t="s">
        <v>33</v>
      </c>
      <c r="C148" s="7" t="s">
        <v>19</v>
      </c>
      <c r="D148" s="7" t="s">
        <v>378</v>
      </c>
      <c r="E148" s="7" t="s">
        <v>379</v>
      </c>
      <c r="F148" s="7"/>
    </row>
    <row r="149" customFormat="false" ht="23.85" hidden="false" customHeight="false" outlineLevel="0" collapsed="false">
      <c r="A149" s="7" t="s">
        <v>92</v>
      </c>
      <c r="B149" s="7" t="s">
        <v>33</v>
      </c>
      <c r="C149" s="7" t="s">
        <v>20</v>
      </c>
      <c r="D149" s="7" t="s">
        <v>373</v>
      </c>
      <c r="E149" s="7" t="s">
        <v>380</v>
      </c>
      <c r="F149" s="7"/>
    </row>
    <row r="150" customFormat="false" ht="23.85" hidden="false" customHeight="false" outlineLevel="0" collapsed="false">
      <c r="A150" s="7" t="s">
        <v>92</v>
      </c>
      <c r="B150" s="7" t="s">
        <v>35</v>
      </c>
      <c r="C150" s="7" t="s">
        <v>16</v>
      </c>
      <c r="D150" s="7" t="s">
        <v>373</v>
      </c>
      <c r="E150" s="7" t="s">
        <v>381</v>
      </c>
      <c r="F150" s="7"/>
    </row>
    <row r="151" customFormat="false" ht="35.05" hidden="false" customHeight="false" outlineLevel="0" collapsed="false">
      <c r="A151" s="7" t="s">
        <v>92</v>
      </c>
      <c r="B151" s="7" t="s">
        <v>35</v>
      </c>
      <c r="C151" s="7" t="s">
        <v>17</v>
      </c>
      <c r="D151" s="7" t="s">
        <v>375</v>
      </c>
      <c r="E151" s="7" t="s">
        <v>382</v>
      </c>
      <c r="F151" s="7"/>
    </row>
    <row r="152" customFormat="false" ht="35.05" hidden="false" customHeight="false" outlineLevel="0" collapsed="false">
      <c r="A152" s="7" t="s">
        <v>92</v>
      </c>
      <c r="B152" s="7" t="s">
        <v>35</v>
      </c>
      <c r="C152" s="7" t="s">
        <v>18</v>
      </c>
      <c r="D152" s="7" t="s">
        <v>383</v>
      </c>
      <c r="E152" s="7" t="s">
        <v>384</v>
      </c>
      <c r="F152" s="7"/>
    </row>
    <row r="153" customFormat="false" ht="23.85" hidden="false" customHeight="false" outlineLevel="0" collapsed="false">
      <c r="A153" s="7" t="s">
        <v>92</v>
      </c>
      <c r="B153" s="7" t="s">
        <v>35</v>
      </c>
      <c r="C153" s="7" t="s">
        <v>19</v>
      </c>
      <c r="D153" s="7" t="s">
        <v>373</v>
      </c>
      <c r="E153" s="7" t="s">
        <v>385</v>
      </c>
      <c r="F153" s="7"/>
    </row>
    <row r="154" customFormat="false" ht="23.85" hidden="false" customHeight="false" outlineLevel="0" collapsed="false">
      <c r="A154" s="7" t="s">
        <v>92</v>
      </c>
      <c r="B154" s="7" t="s">
        <v>35</v>
      </c>
      <c r="C154" s="7" t="s">
        <v>20</v>
      </c>
      <c r="D154" s="7" t="s">
        <v>313</v>
      </c>
      <c r="E154" s="7" t="s">
        <v>386</v>
      </c>
      <c r="F154" s="7"/>
    </row>
    <row r="155" customFormat="false" ht="23.85" hidden="false" customHeight="false" outlineLevel="0" collapsed="false">
      <c r="A155" s="7" t="s">
        <v>92</v>
      </c>
      <c r="B155" s="7" t="s">
        <v>38</v>
      </c>
      <c r="C155" s="7" t="s">
        <v>16</v>
      </c>
      <c r="D155" s="7" t="s">
        <v>242</v>
      </c>
      <c r="E155" s="7" t="s">
        <v>387</v>
      </c>
      <c r="F155" s="7"/>
    </row>
    <row r="156" customFormat="false" ht="23.85" hidden="false" customHeight="false" outlineLevel="0" collapsed="false">
      <c r="A156" s="7" t="s">
        <v>92</v>
      </c>
      <c r="B156" s="7" t="s">
        <v>38</v>
      </c>
      <c r="C156" s="7" t="s">
        <v>17</v>
      </c>
      <c r="D156" s="7" t="s">
        <v>388</v>
      </c>
      <c r="E156" s="7" t="s">
        <v>389</v>
      </c>
      <c r="F156" s="7"/>
    </row>
    <row r="157" customFormat="false" ht="23.85" hidden="false" customHeight="false" outlineLevel="0" collapsed="false">
      <c r="A157" s="7" t="s">
        <v>92</v>
      </c>
      <c r="B157" s="7" t="s">
        <v>38</v>
      </c>
      <c r="C157" s="7" t="s">
        <v>18</v>
      </c>
      <c r="D157" s="7" t="s">
        <v>318</v>
      </c>
      <c r="E157" s="7" t="s">
        <v>390</v>
      </c>
      <c r="F157" s="7"/>
    </row>
    <row r="158" customFormat="false" ht="23.85" hidden="false" customHeight="false" outlineLevel="0" collapsed="false">
      <c r="A158" s="7" t="s">
        <v>92</v>
      </c>
      <c r="B158" s="7" t="s">
        <v>38</v>
      </c>
      <c r="C158" s="7" t="s">
        <v>19</v>
      </c>
      <c r="D158" s="7" t="s">
        <v>261</v>
      </c>
      <c r="E158" s="7" t="s">
        <v>391</v>
      </c>
      <c r="F158" s="7"/>
    </row>
    <row r="159" customFormat="false" ht="15" hidden="false" customHeight="false" outlineLevel="0" collapsed="false">
      <c r="A159" s="7" t="s">
        <v>92</v>
      </c>
      <c r="B159" s="7" t="s">
        <v>38</v>
      </c>
      <c r="C159" s="7" t="s">
        <v>20</v>
      </c>
      <c r="D159" s="7" t="s">
        <v>190</v>
      </c>
      <c r="E159" s="7" t="s">
        <v>392</v>
      </c>
      <c r="F159" s="7"/>
    </row>
    <row r="160" customFormat="false" ht="23.85" hidden="false" customHeight="false" outlineLevel="0" collapsed="false">
      <c r="A160" s="7" t="s">
        <v>92</v>
      </c>
      <c r="B160" s="7" t="s">
        <v>40</v>
      </c>
      <c r="C160" s="7" t="s">
        <v>16</v>
      </c>
      <c r="D160" s="7" t="s">
        <v>393</v>
      </c>
      <c r="E160" s="7" t="s">
        <v>394</v>
      </c>
      <c r="F160" s="7"/>
    </row>
    <row r="161" customFormat="false" ht="23.85" hidden="false" customHeight="false" outlineLevel="0" collapsed="false">
      <c r="A161" s="7" t="s">
        <v>92</v>
      </c>
      <c r="B161" s="7" t="s">
        <v>40</v>
      </c>
      <c r="C161" s="7" t="s">
        <v>17</v>
      </c>
      <c r="D161" s="7" t="s">
        <v>395</v>
      </c>
      <c r="E161" s="7" t="s">
        <v>396</v>
      </c>
      <c r="F161" s="7"/>
    </row>
    <row r="162" customFormat="false" ht="35.05" hidden="false" customHeight="false" outlineLevel="0" collapsed="false">
      <c r="A162" s="7" t="s">
        <v>92</v>
      </c>
      <c r="B162" s="7" t="s">
        <v>40</v>
      </c>
      <c r="C162" s="7" t="s">
        <v>18</v>
      </c>
      <c r="D162" s="7" t="s">
        <v>397</v>
      </c>
      <c r="E162" s="7" t="s">
        <v>398</v>
      </c>
      <c r="F162" s="7"/>
    </row>
    <row r="163" customFormat="false" ht="23.85" hidden="false" customHeight="false" outlineLevel="0" collapsed="false">
      <c r="A163" s="7" t="s">
        <v>92</v>
      </c>
      <c r="B163" s="7" t="s">
        <v>40</v>
      </c>
      <c r="C163" s="7" t="s">
        <v>19</v>
      </c>
      <c r="D163" s="7" t="s">
        <v>351</v>
      </c>
      <c r="E163" s="7" t="s">
        <v>399</v>
      </c>
      <c r="F163" s="7"/>
    </row>
    <row r="164" customFormat="false" ht="15" hidden="false" customHeight="false" outlineLevel="0" collapsed="false">
      <c r="A164" s="7" t="s">
        <v>92</v>
      </c>
      <c r="B164" s="7" t="s">
        <v>40</v>
      </c>
      <c r="C164" s="7" t="s">
        <v>20</v>
      </c>
      <c r="D164" s="7" t="s">
        <v>299</v>
      </c>
      <c r="E164" s="7" t="s">
        <v>400</v>
      </c>
      <c r="F164" s="7"/>
    </row>
    <row r="165" customFormat="false" ht="23.85" hidden="false" customHeight="false" outlineLevel="0" collapsed="false">
      <c r="A165" s="7" t="s">
        <v>92</v>
      </c>
      <c r="B165" s="7" t="s">
        <v>248</v>
      </c>
      <c r="C165" s="7" t="s">
        <v>16</v>
      </c>
      <c r="D165" s="7" t="s">
        <v>393</v>
      </c>
      <c r="E165" s="7" t="s">
        <v>401</v>
      </c>
      <c r="F165" s="7"/>
    </row>
    <row r="166" customFormat="false" ht="23.85" hidden="false" customHeight="false" outlineLevel="0" collapsed="false">
      <c r="A166" s="7" t="s">
        <v>92</v>
      </c>
      <c r="B166" s="7" t="s">
        <v>248</v>
      </c>
      <c r="C166" s="7" t="s">
        <v>17</v>
      </c>
      <c r="D166" s="7" t="s">
        <v>328</v>
      </c>
      <c r="E166" s="7" t="s">
        <v>402</v>
      </c>
      <c r="F166" s="7"/>
    </row>
    <row r="167" customFormat="false" ht="23.85" hidden="false" customHeight="false" outlineLevel="0" collapsed="false">
      <c r="A167" s="7" t="s">
        <v>92</v>
      </c>
      <c r="B167" s="7" t="s">
        <v>248</v>
      </c>
      <c r="C167" s="7" t="s">
        <v>18</v>
      </c>
      <c r="D167" s="7" t="s">
        <v>328</v>
      </c>
      <c r="E167" s="7" t="s">
        <v>403</v>
      </c>
      <c r="F167" s="7"/>
    </row>
    <row r="168" customFormat="false" ht="23.85" hidden="false" customHeight="false" outlineLevel="0" collapsed="false">
      <c r="A168" s="7" t="s">
        <v>92</v>
      </c>
      <c r="B168" s="7" t="s">
        <v>248</v>
      </c>
      <c r="C168" s="7" t="s">
        <v>19</v>
      </c>
      <c r="D168" s="7" t="s">
        <v>328</v>
      </c>
      <c r="E168" s="7" t="s">
        <v>404</v>
      </c>
      <c r="F168" s="7"/>
    </row>
    <row r="169" customFormat="false" ht="23.85" hidden="false" customHeight="false" outlineLevel="0" collapsed="false">
      <c r="A169" s="7" t="s">
        <v>92</v>
      </c>
      <c r="B169" s="7" t="s">
        <v>248</v>
      </c>
      <c r="C169" s="7" t="s">
        <v>20</v>
      </c>
      <c r="D169" s="7" t="s">
        <v>299</v>
      </c>
      <c r="E169" s="7" t="s">
        <v>405</v>
      </c>
      <c r="F169" s="7"/>
    </row>
    <row r="170" customFormat="false" ht="15" hidden="false" customHeight="false" outlineLevel="0" collapsed="false">
      <c r="A170" s="7" t="s">
        <v>92</v>
      </c>
      <c r="B170" s="7" t="s">
        <v>255</v>
      </c>
      <c r="C170" s="7" t="s">
        <v>16</v>
      </c>
      <c r="D170" s="7" t="s">
        <v>196</v>
      </c>
      <c r="E170" s="7" t="s">
        <v>406</v>
      </c>
      <c r="F170" s="7"/>
    </row>
    <row r="171" customFormat="false" ht="23.85" hidden="false" customHeight="false" outlineLevel="0" collapsed="false">
      <c r="A171" s="7" t="s">
        <v>92</v>
      </c>
      <c r="B171" s="7" t="s">
        <v>255</v>
      </c>
      <c r="C171" s="7" t="s">
        <v>17</v>
      </c>
      <c r="D171" s="7" t="s">
        <v>196</v>
      </c>
      <c r="E171" s="7" t="s">
        <v>407</v>
      </c>
      <c r="F171" s="7"/>
    </row>
    <row r="172" customFormat="false" ht="23.85" hidden="false" customHeight="false" outlineLevel="0" collapsed="false">
      <c r="A172" s="7" t="s">
        <v>92</v>
      </c>
      <c r="B172" s="7" t="s">
        <v>255</v>
      </c>
      <c r="C172" s="7" t="s">
        <v>18</v>
      </c>
      <c r="D172" s="7" t="s">
        <v>196</v>
      </c>
      <c r="E172" s="7" t="s">
        <v>408</v>
      </c>
      <c r="F172" s="7"/>
    </row>
    <row r="173" customFormat="false" ht="23.85" hidden="false" customHeight="false" outlineLevel="0" collapsed="false">
      <c r="A173" s="7" t="s">
        <v>92</v>
      </c>
      <c r="B173" s="7" t="s">
        <v>255</v>
      </c>
      <c r="C173" s="7" t="s">
        <v>19</v>
      </c>
      <c r="D173" s="7" t="s">
        <v>196</v>
      </c>
      <c r="E173" s="7" t="s">
        <v>409</v>
      </c>
      <c r="F173" s="7"/>
    </row>
    <row r="174" customFormat="false" ht="15" hidden="false" customHeight="false" outlineLevel="0" collapsed="false">
      <c r="A174" s="7" t="s">
        <v>92</v>
      </c>
      <c r="B174" s="7" t="s">
        <v>255</v>
      </c>
      <c r="C174" s="7" t="s">
        <v>20</v>
      </c>
      <c r="D174" s="7" t="s">
        <v>190</v>
      </c>
      <c r="E174" s="7" t="s">
        <v>335</v>
      </c>
      <c r="F174" s="7"/>
    </row>
    <row r="175" customFormat="false" ht="23.85" hidden="false" customHeight="false" outlineLevel="0" collapsed="false">
      <c r="A175" s="7" t="s">
        <v>92</v>
      </c>
      <c r="B175" s="7" t="s">
        <v>260</v>
      </c>
      <c r="C175" s="7" t="s">
        <v>16</v>
      </c>
      <c r="D175" s="7" t="s">
        <v>261</v>
      </c>
      <c r="E175" s="7" t="s">
        <v>410</v>
      </c>
      <c r="F175" s="7"/>
    </row>
    <row r="176" customFormat="false" ht="15" hidden="false" customHeight="false" outlineLevel="0" collapsed="false">
      <c r="A176" s="7" t="s">
        <v>92</v>
      </c>
      <c r="B176" s="7" t="s">
        <v>260</v>
      </c>
      <c r="C176" s="7" t="s">
        <v>17</v>
      </c>
      <c r="D176" s="7" t="s">
        <v>261</v>
      </c>
      <c r="E176" s="7" t="s">
        <v>411</v>
      </c>
      <c r="F176" s="7"/>
    </row>
    <row r="177" customFormat="false" ht="15" hidden="false" customHeight="false" outlineLevel="0" collapsed="false">
      <c r="A177" s="7" t="s">
        <v>92</v>
      </c>
      <c r="B177" s="7" t="s">
        <v>260</v>
      </c>
      <c r="C177" s="7" t="s">
        <v>18</v>
      </c>
      <c r="D177" s="7" t="s">
        <v>261</v>
      </c>
      <c r="E177" s="7" t="s">
        <v>412</v>
      </c>
      <c r="F177" s="7"/>
    </row>
    <row r="178" customFormat="false" ht="15" hidden="false" customHeight="false" outlineLevel="0" collapsed="false">
      <c r="A178" s="7" t="s">
        <v>92</v>
      </c>
      <c r="B178" s="7" t="s">
        <v>260</v>
      </c>
      <c r="C178" s="7" t="s">
        <v>19</v>
      </c>
      <c r="D178" s="7" t="s">
        <v>261</v>
      </c>
      <c r="E178" s="7" t="s">
        <v>413</v>
      </c>
      <c r="F178" s="7"/>
    </row>
    <row r="179" customFormat="false" ht="15" hidden="false" customHeight="false" outlineLevel="0" collapsed="false">
      <c r="A179" s="7" t="s">
        <v>92</v>
      </c>
      <c r="B179" s="7" t="s">
        <v>260</v>
      </c>
      <c r="C179" s="7" t="s">
        <v>20</v>
      </c>
      <c r="D179" s="7" t="s">
        <v>261</v>
      </c>
      <c r="E179" s="7" t="s">
        <v>414</v>
      </c>
      <c r="F179" s="7"/>
    </row>
    <row r="180" customFormat="false" ht="23.85" hidden="false" customHeight="false" outlineLevel="0" collapsed="false">
      <c r="A180" s="7" t="s">
        <v>92</v>
      </c>
      <c r="B180" s="7" t="s">
        <v>267</v>
      </c>
      <c r="C180" s="7" t="s">
        <v>17</v>
      </c>
      <c r="D180" s="7" t="s">
        <v>415</v>
      </c>
      <c r="E180" s="7" t="s">
        <v>416</v>
      </c>
      <c r="F180" s="7"/>
    </row>
    <row r="181" customFormat="false" ht="15" hidden="false" customHeight="false" outlineLevel="0" collapsed="false">
      <c r="A181" s="7" t="s">
        <v>92</v>
      </c>
      <c r="B181" s="7" t="s">
        <v>267</v>
      </c>
      <c r="C181" s="7" t="s">
        <v>18</v>
      </c>
      <c r="D181" s="7" t="s">
        <v>268</v>
      </c>
      <c r="E181" s="7" t="s">
        <v>417</v>
      </c>
      <c r="F181" s="7"/>
    </row>
    <row r="182" customFormat="false" ht="15" hidden="false" customHeight="false" outlineLevel="0" collapsed="false">
      <c r="A182" s="7" t="s">
        <v>92</v>
      </c>
      <c r="B182" s="7" t="s">
        <v>267</v>
      </c>
      <c r="C182" s="7" t="s">
        <v>19</v>
      </c>
      <c r="D182" s="7" t="s">
        <v>268</v>
      </c>
      <c r="E182" s="7" t="s">
        <v>418</v>
      </c>
      <c r="F182" s="7"/>
    </row>
    <row r="183" customFormat="false" ht="15" hidden="false" customHeight="false" outlineLevel="0" collapsed="false">
      <c r="A183" s="7" t="s">
        <v>92</v>
      </c>
      <c r="B183" s="7" t="s">
        <v>267</v>
      </c>
      <c r="C183" s="7" t="s">
        <v>20</v>
      </c>
      <c r="D183" s="7" t="s">
        <v>268</v>
      </c>
      <c r="E183" s="7" t="s">
        <v>419</v>
      </c>
      <c r="F183" s="7"/>
    </row>
    <row r="184" customFormat="false" ht="35.05" hidden="false" customHeight="false" outlineLevel="0" collapsed="false">
      <c r="A184" s="7" t="s">
        <v>94</v>
      </c>
      <c r="B184" s="7" t="s">
        <v>22</v>
      </c>
      <c r="C184" s="7" t="s">
        <v>16</v>
      </c>
      <c r="D184" s="7" t="s">
        <v>420</v>
      </c>
      <c r="E184" s="7" t="s">
        <v>421</v>
      </c>
      <c r="F184" s="7"/>
    </row>
    <row r="185" customFormat="false" ht="35.05" hidden="false" customHeight="false" outlineLevel="0" collapsed="false">
      <c r="A185" s="7" t="s">
        <v>94</v>
      </c>
      <c r="B185" s="7" t="s">
        <v>22</v>
      </c>
      <c r="C185" s="7" t="s">
        <v>17</v>
      </c>
      <c r="D185" s="7" t="s">
        <v>422</v>
      </c>
      <c r="E185" s="7" t="s">
        <v>423</v>
      </c>
      <c r="F185" s="7"/>
    </row>
    <row r="186" customFormat="false" ht="46.25" hidden="false" customHeight="false" outlineLevel="0" collapsed="false">
      <c r="A186" s="7" t="s">
        <v>94</v>
      </c>
      <c r="B186" s="7" t="s">
        <v>22</v>
      </c>
      <c r="C186" s="7" t="s">
        <v>18</v>
      </c>
      <c r="D186" s="7" t="s">
        <v>424</v>
      </c>
      <c r="E186" s="7" t="s">
        <v>425</v>
      </c>
      <c r="F186" s="7"/>
    </row>
    <row r="187" customFormat="false" ht="23.85" hidden="false" customHeight="false" outlineLevel="0" collapsed="false">
      <c r="A187" s="7" t="s">
        <v>94</v>
      </c>
      <c r="B187" s="7" t="s">
        <v>22</v>
      </c>
      <c r="C187" s="7" t="s">
        <v>19</v>
      </c>
      <c r="D187" s="7" t="s">
        <v>426</v>
      </c>
      <c r="E187" s="7" t="s">
        <v>427</v>
      </c>
      <c r="F187" s="7"/>
    </row>
    <row r="188" customFormat="false" ht="15" hidden="false" customHeight="false" outlineLevel="0" collapsed="false">
      <c r="A188" s="7" t="s">
        <v>94</v>
      </c>
      <c r="B188" s="7" t="s">
        <v>22</v>
      </c>
      <c r="C188" s="7" t="s">
        <v>20</v>
      </c>
      <c r="D188" s="7" t="s">
        <v>196</v>
      </c>
      <c r="E188" s="7" t="s">
        <v>428</v>
      </c>
      <c r="F188" s="7"/>
    </row>
    <row r="189" customFormat="false" ht="35.05" hidden="false" customHeight="false" outlineLevel="0" collapsed="false">
      <c r="A189" s="7" t="s">
        <v>94</v>
      </c>
      <c r="B189" s="7" t="s">
        <v>24</v>
      </c>
      <c r="C189" s="7" t="s">
        <v>16</v>
      </c>
      <c r="D189" s="7" t="s">
        <v>429</v>
      </c>
      <c r="E189" s="7" t="s">
        <v>430</v>
      </c>
      <c r="F189" s="7"/>
    </row>
    <row r="190" customFormat="false" ht="23.85" hidden="false" customHeight="false" outlineLevel="0" collapsed="false">
      <c r="A190" s="7" t="s">
        <v>94</v>
      </c>
      <c r="B190" s="7" t="s">
        <v>24</v>
      </c>
      <c r="C190" s="7" t="s">
        <v>17</v>
      </c>
      <c r="D190" s="7" t="s">
        <v>431</v>
      </c>
      <c r="E190" s="7" t="s">
        <v>432</v>
      </c>
      <c r="F190" s="7"/>
    </row>
    <row r="191" customFormat="false" ht="35.05" hidden="false" customHeight="false" outlineLevel="0" collapsed="false">
      <c r="A191" s="7" t="s">
        <v>94</v>
      </c>
      <c r="B191" s="7" t="s">
        <v>24</v>
      </c>
      <c r="C191" s="7" t="s">
        <v>18</v>
      </c>
      <c r="D191" s="7" t="s">
        <v>284</v>
      </c>
      <c r="E191" s="7" t="s">
        <v>433</v>
      </c>
      <c r="F191" s="7"/>
    </row>
    <row r="192" customFormat="false" ht="35.05" hidden="false" customHeight="false" outlineLevel="0" collapsed="false">
      <c r="A192" s="7" t="s">
        <v>94</v>
      </c>
      <c r="B192" s="7" t="s">
        <v>24</v>
      </c>
      <c r="C192" s="7" t="s">
        <v>19</v>
      </c>
      <c r="D192" s="7" t="s">
        <v>434</v>
      </c>
      <c r="E192" s="7" t="s">
        <v>435</v>
      </c>
      <c r="F192" s="7"/>
    </row>
    <row r="193" customFormat="false" ht="15" hidden="false" customHeight="false" outlineLevel="0" collapsed="false">
      <c r="A193" s="7" t="s">
        <v>94</v>
      </c>
      <c r="B193" s="7" t="s">
        <v>24</v>
      </c>
      <c r="C193" s="7" t="s">
        <v>20</v>
      </c>
      <c r="D193" s="7" t="s">
        <v>190</v>
      </c>
      <c r="E193" s="7" t="s">
        <v>436</v>
      </c>
      <c r="F193" s="7"/>
    </row>
    <row r="194" customFormat="false" ht="15" hidden="false" customHeight="false" outlineLevel="0" collapsed="false">
      <c r="A194" s="7" t="s">
        <v>94</v>
      </c>
      <c r="B194" s="7" t="s">
        <v>27</v>
      </c>
      <c r="C194" s="7" t="s">
        <v>16</v>
      </c>
      <c r="D194" s="7" t="s">
        <v>287</v>
      </c>
      <c r="E194" s="7" t="s">
        <v>437</v>
      </c>
      <c r="F194" s="7"/>
    </row>
    <row r="195" customFormat="false" ht="15" hidden="false" customHeight="false" outlineLevel="0" collapsed="false">
      <c r="A195" s="7" t="s">
        <v>94</v>
      </c>
      <c r="B195" s="7" t="s">
        <v>27</v>
      </c>
      <c r="C195" s="7" t="s">
        <v>17</v>
      </c>
      <c r="D195" s="7" t="s">
        <v>287</v>
      </c>
      <c r="E195" s="7" t="s">
        <v>438</v>
      </c>
      <c r="F195" s="7"/>
    </row>
    <row r="196" customFormat="false" ht="15" hidden="false" customHeight="false" outlineLevel="0" collapsed="false">
      <c r="A196" s="7" t="s">
        <v>94</v>
      </c>
      <c r="B196" s="7" t="s">
        <v>27</v>
      </c>
      <c r="C196" s="7" t="s">
        <v>18</v>
      </c>
      <c r="D196" s="7" t="s">
        <v>287</v>
      </c>
      <c r="E196" s="7" t="s">
        <v>439</v>
      </c>
      <c r="F196" s="7"/>
    </row>
    <row r="197" customFormat="false" ht="15" hidden="false" customHeight="false" outlineLevel="0" collapsed="false">
      <c r="A197" s="7" t="s">
        <v>94</v>
      </c>
      <c r="B197" s="7" t="s">
        <v>27</v>
      </c>
      <c r="C197" s="7" t="s">
        <v>19</v>
      </c>
      <c r="D197" s="7" t="s">
        <v>287</v>
      </c>
      <c r="E197" s="7" t="s">
        <v>440</v>
      </c>
      <c r="F197" s="7"/>
    </row>
    <row r="198" customFormat="false" ht="15" hidden="false" customHeight="false" outlineLevel="0" collapsed="false">
      <c r="A198" s="7" t="s">
        <v>94</v>
      </c>
      <c r="B198" s="7" t="s">
        <v>27</v>
      </c>
      <c r="C198" s="7" t="s">
        <v>20</v>
      </c>
      <c r="D198" s="7" t="s">
        <v>289</v>
      </c>
      <c r="E198" s="7" t="s">
        <v>441</v>
      </c>
      <c r="F198" s="7"/>
    </row>
    <row r="199" customFormat="false" ht="23.85" hidden="false" customHeight="false" outlineLevel="0" collapsed="false">
      <c r="A199" s="7" t="s">
        <v>94</v>
      </c>
      <c r="B199" s="7" t="s">
        <v>29</v>
      </c>
      <c r="C199" s="7" t="s">
        <v>16</v>
      </c>
      <c r="D199" s="7" t="s">
        <v>287</v>
      </c>
      <c r="E199" s="7" t="s">
        <v>442</v>
      </c>
      <c r="F199" s="7"/>
    </row>
    <row r="200" customFormat="false" ht="23.85" hidden="false" customHeight="false" outlineLevel="0" collapsed="false">
      <c r="A200" s="7" t="s">
        <v>94</v>
      </c>
      <c r="B200" s="7" t="s">
        <v>29</v>
      </c>
      <c r="C200" s="7" t="s">
        <v>17</v>
      </c>
      <c r="D200" s="7" t="s">
        <v>287</v>
      </c>
      <c r="E200" s="7" t="s">
        <v>443</v>
      </c>
      <c r="F200" s="7"/>
    </row>
    <row r="201" customFormat="false" ht="23.85" hidden="false" customHeight="false" outlineLevel="0" collapsed="false">
      <c r="A201" s="7" t="s">
        <v>94</v>
      </c>
      <c r="B201" s="7" t="s">
        <v>29</v>
      </c>
      <c r="C201" s="7" t="s">
        <v>18</v>
      </c>
      <c r="D201" s="7" t="s">
        <v>287</v>
      </c>
      <c r="E201" s="7" t="s">
        <v>444</v>
      </c>
      <c r="F201" s="7"/>
    </row>
    <row r="202" customFormat="false" ht="15" hidden="false" customHeight="false" outlineLevel="0" collapsed="false">
      <c r="A202" s="7" t="s">
        <v>94</v>
      </c>
      <c r="B202" s="7" t="s">
        <v>29</v>
      </c>
      <c r="C202" s="7" t="s">
        <v>19</v>
      </c>
      <c r="D202" s="7" t="s">
        <v>287</v>
      </c>
      <c r="E202" s="7" t="s">
        <v>445</v>
      </c>
      <c r="F202" s="7"/>
    </row>
    <row r="203" customFormat="false" ht="23.85" hidden="false" customHeight="false" outlineLevel="0" collapsed="false">
      <c r="A203" s="7" t="s">
        <v>94</v>
      </c>
      <c r="B203" s="7" t="s">
        <v>29</v>
      </c>
      <c r="C203" s="7" t="s">
        <v>20</v>
      </c>
      <c r="D203" s="7" t="s">
        <v>294</v>
      </c>
      <c r="E203" s="7" t="s">
        <v>446</v>
      </c>
      <c r="F203" s="7"/>
    </row>
    <row r="204" customFormat="false" ht="23.85" hidden="false" customHeight="false" outlineLevel="0" collapsed="false">
      <c r="A204" s="7" t="s">
        <v>94</v>
      </c>
      <c r="B204" s="7" t="s">
        <v>31</v>
      </c>
      <c r="C204" s="7" t="s">
        <v>16</v>
      </c>
      <c r="D204" s="7" t="s">
        <v>328</v>
      </c>
      <c r="E204" s="7" t="s">
        <v>447</v>
      </c>
      <c r="F204" s="7"/>
    </row>
    <row r="205" customFormat="false" ht="35.05" hidden="false" customHeight="false" outlineLevel="0" collapsed="false">
      <c r="A205" s="7" t="s">
        <v>94</v>
      </c>
      <c r="B205" s="7" t="s">
        <v>31</v>
      </c>
      <c r="C205" s="7" t="s">
        <v>17</v>
      </c>
      <c r="D205" s="7" t="s">
        <v>299</v>
      </c>
      <c r="E205" s="7" t="s">
        <v>448</v>
      </c>
      <c r="F205" s="7"/>
    </row>
    <row r="206" customFormat="false" ht="23.85" hidden="false" customHeight="false" outlineLevel="0" collapsed="false">
      <c r="A206" s="7" t="s">
        <v>94</v>
      </c>
      <c r="B206" s="7" t="s">
        <v>31</v>
      </c>
      <c r="C206" s="7" t="s">
        <v>18</v>
      </c>
      <c r="D206" s="7" t="s">
        <v>328</v>
      </c>
      <c r="E206" s="7" t="s">
        <v>449</v>
      </c>
      <c r="F206" s="7"/>
    </row>
    <row r="207" customFormat="false" ht="23.85" hidden="false" customHeight="false" outlineLevel="0" collapsed="false">
      <c r="A207" s="7" t="s">
        <v>94</v>
      </c>
      <c r="B207" s="7" t="s">
        <v>31</v>
      </c>
      <c r="C207" s="7" t="s">
        <v>19</v>
      </c>
      <c r="D207" s="7" t="s">
        <v>328</v>
      </c>
      <c r="E207" s="7" t="s">
        <v>450</v>
      </c>
      <c r="F207" s="7"/>
    </row>
    <row r="208" customFormat="false" ht="23.85" hidden="false" customHeight="false" outlineLevel="0" collapsed="false">
      <c r="A208" s="7" t="s">
        <v>94</v>
      </c>
      <c r="B208" s="7" t="s">
        <v>31</v>
      </c>
      <c r="C208" s="7" t="s">
        <v>20</v>
      </c>
      <c r="D208" s="7" t="s">
        <v>299</v>
      </c>
      <c r="E208" s="7" t="s">
        <v>451</v>
      </c>
      <c r="F208" s="7"/>
    </row>
    <row r="209" customFormat="false" ht="23.85" hidden="false" customHeight="false" outlineLevel="0" collapsed="false">
      <c r="A209" s="7" t="s">
        <v>94</v>
      </c>
      <c r="B209" s="7" t="s">
        <v>33</v>
      </c>
      <c r="C209" s="7" t="s">
        <v>16</v>
      </c>
      <c r="D209" s="7" t="s">
        <v>452</v>
      </c>
      <c r="E209" s="7" t="s">
        <v>453</v>
      </c>
      <c r="F209" s="7"/>
    </row>
    <row r="210" customFormat="false" ht="23.85" hidden="false" customHeight="false" outlineLevel="0" collapsed="false">
      <c r="A210" s="7" t="s">
        <v>94</v>
      </c>
      <c r="B210" s="7" t="s">
        <v>33</v>
      </c>
      <c r="C210" s="7" t="s">
        <v>17</v>
      </c>
      <c r="D210" s="7" t="s">
        <v>454</v>
      </c>
      <c r="E210" s="7" t="s">
        <v>455</v>
      </c>
      <c r="F210" s="7"/>
    </row>
    <row r="211" customFormat="false" ht="23.85" hidden="false" customHeight="false" outlineLevel="0" collapsed="false">
      <c r="A211" s="7" t="s">
        <v>94</v>
      </c>
      <c r="B211" s="7" t="s">
        <v>33</v>
      </c>
      <c r="C211" s="7" t="s">
        <v>18</v>
      </c>
      <c r="D211" s="7" t="s">
        <v>454</v>
      </c>
      <c r="E211" s="7" t="s">
        <v>456</v>
      </c>
      <c r="F211" s="7"/>
    </row>
    <row r="212" customFormat="false" ht="23.85" hidden="false" customHeight="false" outlineLevel="0" collapsed="false">
      <c r="A212" s="7" t="s">
        <v>94</v>
      </c>
      <c r="B212" s="7" t="s">
        <v>33</v>
      </c>
      <c r="C212" s="7" t="s">
        <v>19</v>
      </c>
      <c r="D212" s="7" t="s">
        <v>454</v>
      </c>
      <c r="E212" s="7" t="s">
        <v>457</v>
      </c>
      <c r="F212" s="7"/>
    </row>
    <row r="213" customFormat="false" ht="23.85" hidden="false" customHeight="false" outlineLevel="0" collapsed="false">
      <c r="A213" s="7" t="s">
        <v>94</v>
      </c>
      <c r="B213" s="7" t="s">
        <v>33</v>
      </c>
      <c r="C213" s="7" t="s">
        <v>20</v>
      </c>
      <c r="D213" s="7" t="s">
        <v>458</v>
      </c>
      <c r="E213" s="7" t="s">
        <v>459</v>
      </c>
      <c r="F213" s="7"/>
    </row>
    <row r="214" customFormat="false" ht="23.85" hidden="false" customHeight="false" outlineLevel="0" collapsed="false">
      <c r="A214" s="7" t="s">
        <v>94</v>
      </c>
      <c r="B214" s="7" t="s">
        <v>35</v>
      </c>
      <c r="C214" s="7" t="s">
        <v>16</v>
      </c>
      <c r="D214" s="7" t="s">
        <v>458</v>
      </c>
      <c r="E214" s="7" t="s">
        <v>460</v>
      </c>
      <c r="F214" s="7"/>
    </row>
    <row r="215" customFormat="false" ht="35.05" hidden="false" customHeight="false" outlineLevel="0" collapsed="false">
      <c r="A215" s="7" t="s">
        <v>94</v>
      </c>
      <c r="B215" s="7" t="s">
        <v>35</v>
      </c>
      <c r="C215" s="7" t="s">
        <v>17</v>
      </c>
      <c r="D215" s="7" t="s">
        <v>461</v>
      </c>
      <c r="E215" s="7" t="s">
        <v>462</v>
      </c>
      <c r="F215" s="7"/>
    </row>
    <row r="216" customFormat="false" ht="35.05" hidden="false" customHeight="false" outlineLevel="0" collapsed="false">
      <c r="A216" s="7" t="s">
        <v>94</v>
      </c>
      <c r="B216" s="7" t="s">
        <v>35</v>
      </c>
      <c r="C216" s="7" t="s">
        <v>18</v>
      </c>
      <c r="D216" s="7" t="s">
        <v>458</v>
      </c>
      <c r="E216" s="7" t="s">
        <v>463</v>
      </c>
      <c r="F216" s="7"/>
    </row>
    <row r="217" customFormat="false" ht="23.85" hidden="false" customHeight="false" outlineLevel="0" collapsed="false">
      <c r="A217" s="7" t="s">
        <v>94</v>
      </c>
      <c r="B217" s="7" t="s">
        <v>35</v>
      </c>
      <c r="C217" s="7" t="s">
        <v>19</v>
      </c>
      <c r="D217" s="7" t="s">
        <v>464</v>
      </c>
      <c r="E217" s="7" t="s">
        <v>465</v>
      </c>
      <c r="F217" s="7"/>
    </row>
    <row r="218" customFormat="false" ht="23.85" hidden="false" customHeight="false" outlineLevel="0" collapsed="false">
      <c r="A218" s="7" t="s">
        <v>94</v>
      </c>
      <c r="B218" s="7" t="s">
        <v>35</v>
      </c>
      <c r="C218" s="7" t="s">
        <v>20</v>
      </c>
      <c r="D218" s="7" t="s">
        <v>313</v>
      </c>
      <c r="E218" s="7" t="s">
        <v>466</v>
      </c>
      <c r="F218" s="7"/>
    </row>
    <row r="219" customFormat="false" ht="23.85" hidden="false" customHeight="false" outlineLevel="0" collapsed="false">
      <c r="A219" s="7" t="s">
        <v>94</v>
      </c>
      <c r="B219" s="7" t="s">
        <v>38</v>
      </c>
      <c r="C219" s="7" t="s">
        <v>16</v>
      </c>
      <c r="D219" s="7" t="s">
        <v>235</v>
      </c>
      <c r="E219" s="7" t="s">
        <v>467</v>
      </c>
      <c r="F219" s="7"/>
    </row>
    <row r="220" customFormat="false" ht="15" hidden="false" customHeight="false" outlineLevel="0" collapsed="false">
      <c r="A220" s="7" t="s">
        <v>94</v>
      </c>
      <c r="B220" s="7" t="s">
        <v>38</v>
      </c>
      <c r="C220" s="7" t="s">
        <v>17</v>
      </c>
      <c r="D220" s="7" t="s">
        <v>233</v>
      </c>
      <c r="E220" s="7" t="s">
        <v>468</v>
      </c>
      <c r="F220" s="7"/>
    </row>
    <row r="221" customFormat="false" ht="23.85" hidden="false" customHeight="false" outlineLevel="0" collapsed="false">
      <c r="A221" s="7" t="s">
        <v>94</v>
      </c>
      <c r="B221" s="7" t="s">
        <v>38</v>
      </c>
      <c r="C221" s="7" t="s">
        <v>18</v>
      </c>
      <c r="D221" s="7" t="s">
        <v>318</v>
      </c>
      <c r="E221" s="7" t="s">
        <v>469</v>
      </c>
      <c r="F221" s="7"/>
    </row>
    <row r="222" customFormat="false" ht="23.85" hidden="false" customHeight="false" outlineLevel="0" collapsed="false">
      <c r="A222" s="7" t="s">
        <v>94</v>
      </c>
      <c r="B222" s="7" t="s">
        <v>38</v>
      </c>
      <c r="C222" s="7" t="s">
        <v>19</v>
      </c>
      <c r="D222" s="7" t="s">
        <v>261</v>
      </c>
      <c r="E222" s="7" t="s">
        <v>470</v>
      </c>
      <c r="F222" s="7"/>
    </row>
    <row r="223" customFormat="false" ht="15" hidden="false" customHeight="false" outlineLevel="0" collapsed="false">
      <c r="A223" s="7" t="s">
        <v>94</v>
      </c>
      <c r="B223" s="7" t="s">
        <v>38</v>
      </c>
      <c r="C223" s="7" t="s">
        <v>20</v>
      </c>
      <c r="D223" s="7" t="s">
        <v>190</v>
      </c>
      <c r="E223" s="7" t="s">
        <v>392</v>
      </c>
      <c r="F223" s="7"/>
    </row>
    <row r="224" customFormat="false" ht="23.85" hidden="false" customHeight="false" outlineLevel="0" collapsed="false">
      <c r="A224" s="7" t="s">
        <v>94</v>
      </c>
      <c r="B224" s="7" t="s">
        <v>40</v>
      </c>
      <c r="C224" s="7" t="s">
        <v>16</v>
      </c>
      <c r="D224" s="7" t="s">
        <v>321</v>
      </c>
      <c r="E224" s="7" t="s">
        <v>471</v>
      </c>
      <c r="F224" s="7"/>
    </row>
    <row r="225" customFormat="false" ht="23.85" hidden="false" customHeight="false" outlineLevel="0" collapsed="false">
      <c r="A225" s="7" t="s">
        <v>94</v>
      </c>
      <c r="B225" s="7" t="s">
        <v>40</v>
      </c>
      <c r="C225" s="7" t="s">
        <v>17</v>
      </c>
      <c r="D225" s="7" t="s">
        <v>321</v>
      </c>
      <c r="E225" s="7" t="s">
        <v>472</v>
      </c>
      <c r="F225" s="7"/>
    </row>
    <row r="226" customFormat="false" ht="23.85" hidden="false" customHeight="false" outlineLevel="0" collapsed="false">
      <c r="A226" s="7" t="s">
        <v>94</v>
      </c>
      <c r="B226" s="7" t="s">
        <v>40</v>
      </c>
      <c r="C226" s="7" t="s">
        <v>18</v>
      </c>
      <c r="D226" s="7" t="s">
        <v>429</v>
      </c>
      <c r="E226" s="7" t="s">
        <v>473</v>
      </c>
      <c r="F226" s="7"/>
    </row>
    <row r="227" customFormat="false" ht="15" hidden="false" customHeight="false" outlineLevel="0" collapsed="false">
      <c r="A227" s="7" t="s">
        <v>94</v>
      </c>
      <c r="B227" s="7" t="s">
        <v>40</v>
      </c>
      <c r="C227" s="7" t="s">
        <v>19</v>
      </c>
      <c r="D227" s="7" t="s">
        <v>474</v>
      </c>
      <c r="E227" s="7" t="s">
        <v>475</v>
      </c>
      <c r="F227" s="7"/>
    </row>
    <row r="228" customFormat="false" ht="15" hidden="false" customHeight="false" outlineLevel="0" collapsed="false">
      <c r="A228" s="7" t="s">
        <v>94</v>
      </c>
      <c r="B228" s="7" t="s">
        <v>40</v>
      </c>
      <c r="C228" s="7" t="s">
        <v>20</v>
      </c>
      <c r="D228" s="7" t="s">
        <v>289</v>
      </c>
      <c r="E228" s="7" t="s">
        <v>476</v>
      </c>
      <c r="F228" s="7"/>
    </row>
    <row r="229" customFormat="false" ht="23.85" hidden="false" customHeight="false" outlineLevel="0" collapsed="false">
      <c r="A229" s="7" t="s">
        <v>94</v>
      </c>
      <c r="B229" s="7" t="s">
        <v>248</v>
      </c>
      <c r="C229" s="7" t="s">
        <v>16</v>
      </c>
      <c r="D229" s="7" t="s">
        <v>321</v>
      </c>
      <c r="E229" s="7" t="s">
        <v>477</v>
      </c>
      <c r="F229" s="7"/>
    </row>
    <row r="230" customFormat="false" ht="23.85" hidden="false" customHeight="false" outlineLevel="0" collapsed="false">
      <c r="A230" s="7" t="s">
        <v>94</v>
      </c>
      <c r="B230" s="7" t="s">
        <v>248</v>
      </c>
      <c r="C230" s="7" t="s">
        <v>17</v>
      </c>
      <c r="D230" s="7" t="s">
        <v>287</v>
      </c>
      <c r="E230" s="7" t="s">
        <v>478</v>
      </c>
      <c r="F230" s="7"/>
    </row>
    <row r="231" customFormat="false" ht="23.85" hidden="false" customHeight="false" outlineLevel="0" collapsed="false">
      <c r="A231" s="7" t="s">
        <v>94</v>
      </c>
      <c r="B231" s="7" t="s">
        <v>248</v>
      </c>
      <c r="C231" s="7" t="s">
        <v>18</v>
      </c>
      <c r="D231" s="7" t="s">
        <v>287</v>
      </c>
      <c r="E231" s="7" t="s">
        <v>479</v>
      </c>
      <c r="F231" s="7"/>
    </row>
    <row r="232" customFormat="false" ht="23.85" hidden="false" customHeight="false" outlineLevel="0" collapsed="false">
      <c r="A232" s="7" t="s">
        <v>94</v>
      </c>
      <c r="B232" s="7" t="s">
        <v>248</v>
      </c>
      <c r="C232" s="7" t="s">
        <v>19</v>
      </c>
      <c r="D232" s="7" t="s">
        <v>294</v>
      </c>
      <c r="E232" s="7" t="s">
        <v>480</v>
      </c>
      <c r="F232" s="7"/>
    </row>
    <row r="233" customFormat="false" ht="23.85" hidden="false" customHeight="false" outlineLevel="0" collapsed="false">
      <c r="A233" s="7" t="s">
        <v>94</v>
      </c>
      <c r="B233" s="7" t="s">
        <v>248</v>
      </c>
      <c r="C233" s="7" t="s">
        <v>20</v>
      </c>
      <c r="D233" s="7" t="s">
        <v>289</v>
      </c>
      <c r="E233" s="7" t="s">
        <v>481</v>
      </c>
      <c r="F233" s="7"/>
    </row>
    <row r="234" customFormat="false" ht="15" hidden="false" customHeight="false" outlineLevel="0" collapsed="false">
      <c r="A234" s="7" t="s">
        <v>94</v>
      </c>
      <c r="B234" s="7" t="s">
        <v>255</v>
      </c>
      <c r="C234" s="7" t="s">
        <v>16</v>
      </c>
      <c r="D234" s="7" t="s">
        <v>196</v>
      </c>
      <c r="E234" s="7" t="s">
        <v>482</v>
      </c>
      <c r="F234" s="7"/>
    </row>
    <row r="235" customFormat="false" ht="23.85" hidden="false" customHeight="false" outlineLevel="0" collapsed="false">
      <c r="A235" s="7" t="s">
        <v>94</v>
      </c>
      <c r="B235" s="7" t="s">
        <v>255</v>
      </c>
      <c r="C235" s="7" t="s">
        <v>17</v>
      </c>
      <c r="D235" s="7" t="s">
        <v>196</v>
      </c>
      <c r="E235" s="7" t="s">
        <v>483</v>
      </c>
      <c r="F235" s="7"/>
    </row>
    <row r="236" customFormat="false" ht="15" hidden="false" customHeight="false" outlineLevel="0" collapsed="false">
      <c r="A236" s="7" t="s">
        <v>94</v>
      </c>
      <c r="B236" s="7" t="s">
        <v>255</v>
      </c>
      <c r="C236" s="7" t="s">
        <v>18</v>
      </c>
      <c r="D236" s="7" t="s">
        <v>196</v>
      </c>
      <c r="E236" s="7" t="s">
        <v>484</v>
      </c>
      <c r="F236" s="7"/>
    </row>
    <row r="237" customFormat="false" ht="15" hidden="false" customHeight="false" outlineLevel="0" collapsed="false">
      <c r="A237" s="7" t="s">
        <v>94</v>
      </c>
      <c r="B237" s="7" t="s">
        <v>255</v>
      </c>
      <c r="C237" s="7" t="s">
        <v>19</v>
      </c>
      <c r="D237" s="7" t="s">
        <v>196</v>
      </c>
      <c r="E237" s="7" t="s">
        <v>333</v>
      </c>
      <c r="F237" s="7"/>
    </row>
    <row r="238" customFormat="false" ht="15" hidden="false" customHeight="false" outlineLevel="0" collapsed="false">
      <c r="A238" s="7" t="s">
        <v>94</v>
      </c>
      <c r="B238" s="7" t="s">
        <v>255</v>
      </c>
      <c r="C238" s="7" t="s">
        <v>20</v>
      </c>
      <c r="D238" s="7" t="s">
        <v>190</v>
      </c>
      <c r="E238" s="7" t="s">
        <v>335</v>
      </c>
      <c r="F238" s="7"/>
    </row>
    <row r="239" customFormat="false" ht="23.85" hidden="false" customHeight="false" outlineLevel="0" collapsed="false">
      <c r="A239" s="7" t="s">
        <v>94</v>
      </c>
      <c r="B239" s="7" t="s">
        <v>260</v>
      </c>
      <c r="C239" s="7" t="s">
        <v>16</v>
      </c>
      <c r="D239" s="7" t="s">
        <v>261</v>
      </c>
      <c r="E239" s="7" t="s">
        <v>485</v>
      </c>
      <c r="F239" s="7"/>
    </row>
    <row r="240" customFormat="false" ht="15" hidden="false" customHeight="false" outlineLevel="0" collapsed="false">
      <c r="A240" s="7" t="s">
        <v>94</v>
      </c>
      <c r="B240" s="7" t="s">
        <v>260</v>
      </c>
      <c r="C240" s="7" t="s">
        <v>17</v>
      </c>
      <c r="D240" s="7" t="s">
        <v>261</v>
      </c>
      <c r="E240" s="7" t="s">
        <v>486</v>
      </c>
      <c r="F240" s="7"/>
    </row>
    <row r="241" customFormat="false" ht="15" hidden="false" customHeight="false" outlineLevel="0" collapsed="false">
      <c r="A241" s="7" t="s">
        <v>94</v>
      </c>
      <c r="B241" s="7" t="s">
        <v>260</v>
      </c>
      <c r="C241" s="7" t="s">
        <v>18</v>
      </c>
      <c r="D241" s="7" t="s">
        <v>261</v>
      </c>
      <c r="E241" s="7" t="s">
        <v>412</v>
      </c>
      <c r="F241" s="7"/>
    </row>
    <row r="242" customFormat="false" ht="15" hidden="false" customHeight="false" outlineLevel="0" collapsed="false">
      <c r="A242" s="7" t="s">
        <v>94</v>
      </c>
      <c r="B242" s="7" t="s">
        <v>260</v>
      </c>
      <c r="C242" s="7" t="s">
        <v>19</v>
      </c>
      <c r="D242" s="7" t="s">
        <v>261</v>
      </c>
      <c r="E242" s="7" t="s">
        <v>487</v>
      </c>
      <c r="F242" s="7"/>
    </row>
    <row r="243" customFormat="false" ht="15" hidden="false" customHeight="false" outlineLevel="0" collapsed="false">
      <c r="A243" s="7" t="s">
        <v>94</v>
      </c>
      <c r="B243" s="7" t="s">
        <v>260</v>
      </c>
      <c r="C243" s="7" t="s">
        <v>20</v>
      </c>
      <c r="D243" s="7" t="s">
        <v>261</v>
      </c>
      <c r="E243" s="7" t="s">
        <v>488</v>
      </c>
      <c r="F243" s="7"/>
    </row>
    <row r="244" customFormat="false" ht="15" hidden="false" customHeight="false" outlineLevel="0" collapsed="false">
      <c r="A244" s="7" t="s">
        <v>94</v>
      </c>
      <c r="B244" s="7" t="s">
        <v>267</v>
      </c>
      <c r="C244" s="7" t="s">
        <v>17</v>
      </c>
      <c r="D244" s="7" t="s">
        <v>268</v>
      </c>
      <c r="E244" s="7" t="s">
        <v>489</v>
      </c>
      <c r="F244" s="7"/>
    </row>
    <row r="245" customFormat="false" ht="15" hidden="false" customHeight="false" outlineLevel="0" collapsed="false">
      <c r="A245" s="7" t="s">
        <v>94</v>
      </c>
      <c r="B245" s="7" t="s">
        <v>267</v>
      </c>
      <c r="C245" s="7" t="s">
        <v>18</v>
      </c>
      <c r="D245" s="7" t="s">
        <v>268</v>
      </c>
      <c r="E245" s="7" t="s">
        <v>490</v>
      </c>
      <c r="F245" s="7"/>
    </row>
    <row r="246" customFormat="false" ht="15" hidden="false" customHeight="false" outlineLevel="0" collapsed="false">
      <c r="A246" s="7" t="s">
        <v>94</v>
      </c>
      <c r="B246" s="7" t="s">
        <v>267</v>
      </c>
      <c r="C246" s="7" t="s">
        <v>19</v>
      </c>
      <c r="D246" s="7" t="s">
        <v>268</v>
      </c>
      <c r="E246" s="7" t="s">
        <v>491</v>
      </c>
      <c r="F246" s="7"/>
    </row>
    <row r="247" customFormat="false" ht="15" hidden="false" customHeight="false" outlineLevel="0" collapsed="false">
      <c r="A247" s="7" t="s">
        <v>94</v>
      </c>
      <c r="B247" s="7" t="s">
        <v>267</v>
      </c>
      <c r="C247" s="7" t="s">
        <v>20</v>
      </c>
      <c r="D247" s="7" t="s">
        <v>268</v>
      </c>
      <c r="E247" s="7" t="s">
        <v>492</v>
      </c>
      <c r="F247" s="7"/>
    </row>
    <row r="248" customFormat="false" ht="46.25" hidden="false" customHeight="false" outlineLevel="0" collapsed="false">
      <c r="A248" s="7" t="s">
        <v>95</v>
      </c>
      <c r="B248" s="7" t="s">
        <v>22</v>
      </c>
      <c r="C248" s="7" t="s">
        <v>16</v>
      </c>
      <c r="D248" s="7" t="s">
        <v>493</v>
      </c>
      <c r="E248" s="7" t="s">
        <v>494</v>
      </c>
      <c r="F248" s="7"/>
    </row>
    <row r="249" customFormat="false" ht="23.85" hidden="false" customHeight="false" outlineLevel="0" collapsed="false">
      <c r="A249" s="7" t="s">
        <v>95</v>
      </c>
      <c r="B249" s="7" t="s">
        <v>22</v>
      </c>
      <c r="C249" s="7" t="s">
        <v>17</v>
      </c>
      <c r="D249" s="7" t="s">
        <v>495</v>
      </c>
      <c r="E249" s="7" t="s">
        <v>496</v>
      </c>
      <c r="F249" s="7"/>
    </row>
    <row r="250" customFormat="false" ht="23.85" hidden="false" customHeight="false" outlineLevel="0" collapsed="false">
      <c r="A250" s="7" t="s">
        <v>95</v>
      </c>
      <c r="B250" s="7" t="s">
        <v>22</v>
      </c>
      <c r="C250" s="7" t="s">
        <v>18</v>
      </c>
      <c r="D250" s="7" t="s">
        <v>497</v>
      </c>
      <c r="E250" s="7" t="s">
        <v>498</v>
      </c>
      <c r="F250" s="7"/>
    </row>
    <row r="251" customFormat="false" ht="35.05" hidden="false" customHeight="false" outlineLevel="0" collapsed="false">
      <c r="A251" s="7" t="s">
        <v>95</v>
      </c>
      <c r="B251" s="7" t="s">
        <v>22</v>
      </c>
      <c r="C251" s="7" t="s">
        <v>19</v>
      </c>
      <c r="D251" s="7" t="s">
        <v>499</v>
      </c>
      <c r="E251" s="7" t="s">
        <v>500</v>
      </c>
      <c r="F251" s="7"/>
    </row>
    <row r="252" customFormat="false" ht="46.25" hidden="false" customHeight="false" outlineLevel="0" collapsed="false">
      <c r="A252" s="7" t="s">
        <v>95</v>
      </c>
      <c r="B252" s="7" t="s">
        <v>22</v>
      </c>
      <c r="C252" s="7" t="s">
        <v>20</v>
      </c>
      <c r="D252" s="7" t="s">
        <v>501</v>
      </c>
      <c r="E252" s="7" t="s">
        <v>502</v>
      </c>
      <c r="F252" s="7" t="s">
        <v>503</v>
      </c>
    </row>
    <row r="253" customFormat="false" ht="46.25" hidden="false" customHeight="false" outlineLevel="0" collapsed="false">
      <c r="A253" s="7" t="s">
        <v>95</v>
      </c>
      <c r="B253" s="7" t="s">
        <v>24</v>
      </c>
      <c r="C253" s="7" t="s">
        <v>16</v>
      </c>
      <c r="D253" s="7" t="s">
        <v>504</v>
      </c>
      <c r="E253" s="7" t="s">
        <v>505</v>
      </c>
      <c r="F253" s="7"/>
    </row>
    <row r="254" customFormat="false" ht="23.85" hidden="false" customHeight="false" outlineLevel="0" collapsed="false">
      <c r="A254" s="7" t="s">
        <v>95</v>
      </c>
      <c r="B254" s="7" t="s">
        <v>24</v>
      </c>
      <c r="C254" s="7" t="s">
        <v>17</v>
      </c>
      <c r="D254" s="7" t="s">
        <v>246</v>
      </c>
      <c r="E254" s="7" t="s">
        <v>506</v>
      </c>
      <c r="F254" s="7"/>
    </row>
    <row r="255" customFormat="false" ht="35.05" hidden="false" customHeight="false" outlineLevel="0" collapsed="false">
      <c r="A255" s="7" t="s">
        <v>95</v>
      </c>
      <c r="B255" s="7" t="s">
        <v>24</v>
      </c>
      <c r="C255" s="7" t="s">
        <v>18</v>
      </c>
      <c r="D255" s="7" t="s">
        <v>313</v>
      </c>
      <c r="E255" s="7" t="s">
        <v>507</v>
      </c>
      <c r="F255" s="7"/>
    </row>
    <row r="256" customFormat="false" ht="23.85" hidden="false" customHeight="false" outlineLevel="0" collapsed="false">
      <c r="A256" s="7" t="s">
        <v>95</v>
      </c>
      <c r="B256" s="7" t="s">
        <v>24</v>
      </c>
      <c r="C256" s="7" t="s">
        <v>19</v>
      </c>
      <c r="D256" s="7" t="s">
        <v>313</v>
      </c>
      <c r="E256" s="7" t="s">
        <v>508</v>
      </c>
      <c r="F256" s="7"/>
    </row>
    <row r="257" customFormat="false" ht="46.25" hidden="false" customHeight="false" outlineLevel="0" collapsed="false">
      <c r="A257" s="7" t="s">
        <v>95</v>
      </c>
      <c r="B257" s="7" t="s">
        <v>24</v>
      </c>
      <c r="C257" s="7" t="s">
        <v>20</v>
      </c>
      <c r="D257" s="7" t="s">
        <v>509</v>
      </c>
      <c r="E257" s="7" t="s">
        <v>510</v>
      </c>
      <c r="F257" s="7" t="s">
        <v>503</v>
      </c>
    </row>
    <row r="258" customFormat="false" ht="15" hidden="false" customHeight="false" outlineLevel="0" collapsed="false">
      <c r="A258" s="7" t="s">
        <v>95</v>
      </c>
      <c r="B258" s="7" t="s">
        <v>27</v>
      </c>
      <c r="C258" s="7" t="s">
        <v>16</v>
      </c>
      <c r="D258" s="7" t="s">
        <v>511</v>
      </c>
      <c r="E258" s="7" t="s">
        <v>512</v>
      </c>
      <c r="F258" s="7"/>
    </row>
    <row r="259" customFormat="false" ht="23.85" hidden="false" customHeight="false" outlineLevel="0" collapsed="false">
      <c r="A259" s="7" t="s">
        <v>95</v>
      </c>
      <c r="B259" s="7" t="s">
        <v>27</v>
      </c>
      <c r="C259" s="7" t="s">
        <v>17</v>
      </c>
      <c r="D259" s="7" t="s">
        <v>513</v>
      </c>
      <c r="E259" s="7" t="s">
        <v>514</v>
      </c>
      <c r="F259" s="7"/>
    </row>
    <row r="260" customFormat="false" ht="23.85" hidden="false" customHeight="false" outlineLevel="0" collapsed="false">
      <c r="A260" s="7" t="s">
        <v>95</v>
      </c>
      <c r="B260" s="7" t="s">
        <v>27</v>
      </c>
      <c r="C260" s="7" t="s">
        <v>18</v>
      </c>
      <c r="D260" s="7" t="s">
        <v>511</v>
      </c>
      <c r="E260" s="7" t="s">
        <v>515</v>
      </c>
      <c r="F260" s="7"/>
    </row>
    <row r="261" customFormat="false" ht="15" hidden="false" customHeight="false" outlineLevel="0" collapsed="false">
      <c r="A261" s="7" t="s">
        <v>95</v>
      </c>
      <c r="B261" s="7" t="s">
        <v>27</v>
      </c>
      <c r="C261" s="7" t="s">
        <v>19</v>
      </c>
      <c r="D261" s="7" t="s">
        <v>511</v>
      </c>
      <c r="E261" s="7" t="s">
        <v>516</v>
      </c>
      <c r="F261" s="7"/>
    </row>
    <row r="262" customFormat="false" ht="46.25" hidden="false" customHeight="false" outlineLevel="0" collapsed="false">
      <c r="A262" s="7" t="s">
        <v>95</v>
      </c>
      <c r="B262" s="7" t="s">
        <v>27</v>
      </c>
      <c r="C262" s="7" t="s">
        <v>20</v>
      </c>
      <c r="D262" s="7" t="s">
        <v>517</v>
      </c>
      <c r="E262" s="7" t="s">
        <v>518</v>
      </c>
      <c r="F262" s="7" t="s">
        <v>503</v>
      </c>
    </row>
    <row r="263" customFormat="false" ht="35.05" hidden="false" customHeight="false" outlineLevel="0" collapsed="false">
      <c r="A263" s="7" t="s">
        <v>95</v>
      </c>
      <c r="B263" s="7" t="s">
        <v>29</v>
      </c>
      <c r="C263" s="7" t="s">
        <v>16</v>
      </c>
      <c r="D263" s="7" t="s">
        <v>519</v>
      </c>
      <c r="E263" s="7" t="s">
        <v>520</v>
      </c>
      <c r="F263" s="7"/>
    </row>
    <row r="264" customFormat="false" ht="23.85" hidden="false" customHeight="false" outlineLevel="0" collapsed="false">
      <c r="A264" s="7" t="s">
        <v>95</v>
      </c>
      <c r="B264" s="7" t="s">
        <v>29</v>
      </c>
      <c r="C264" s="7" t="s">
        <v>17</v>
      </c>
      <c r="D264" s="7" t="s">
        <v>521</v>
      </c>
      <c r="E264" s="7" t="s">
        <v>522</v>
      </c>
      <c r="F264" s="7"/>
    </row>
    <row r="265" customFormat="false" ht="23.85" hidden="false" customHeight="false" outlineLevel="0" collapsed="false">
      <c r="A265" s="7" t="s">
        <v>95</v>
      </c>
      <c r="B265" s="7" t="s">
        <v>29</v>
      </c>
      <c r="C265" s="7" t="s">
        <v>18</v>
      </c>
      <c r="D265" s="7" t="s">
        <v>519</v>
      </c>
      <c r="E265" s="7" t="s">
        <v>523</v>
      </c>
      <c r="F265" s="7"/>
    </row>
    <row r="266" customFormat="false" ht="23.85" hidden="false" customHeight="false" outlineLevel="0" collapsed="false">
      <c r="A266" s="7" t="s">
        <v>95</v>
      </c>
      <c r="B266" s="7" t="s">
        <v>29</v>
      </c>
      <c r="C266" s="7" t="s">
        <v>19</v>
      </c>
      <c r="D266" s="7" t="s">
        <v>511</v>
      </c>
      <c r="E266" s="7" t="s">
        <v>524</v>
      </c>
      <c r="F266" s="7"/>
    </row>
    <row r="267" customFormat="false" ht="46.25" hidden="false" customHeight="false" outlineLevel="0" collapsed="false">
      <c r="A267" s="7" t="s">
        <v>95</v>
      </c>
      <c r="B267" s="7" t="s">
        <v>29</v>
      </c>
      <c r="C267" s="7" t="s">
        <v>20</v>
      </c>
      <c r="D267" s="7" t="s">
        <v>525</v>
      </c>
      <c r="E267" s="7" t="s">
        <v>526</v>
      </c>
      <c r="F267" s="7" t="s">
        <v>503</v>
      </c>
    </row>
    <row r="268" customFormat="false" ht="23.85" hidden="false" customHeight="false" outlineLevel="0" collapsed="false">
      <c r="A268" s="7" t="s">
        <v>95</v>
      </c>
      <c r="B268" s="7" t="s">
        <v>31</v>
      </c>
      <c r="C268" s="7" t="s">
        <v>16</v>
      </c>
      <c r="D268" s="7" t="s">
        <v>190</v>
      </c>
      <c r="E268" s="7" t="s">
        <v>527</v>
      </c>
      <c r="F268" s="7"/>
    </row>
    <row r="269" customFormat="false" ht="23.85" hidden="false" customHeight="false" outlineLevel="0" collapsed="false">
      <c r="A269" s="7" t="s">
        <v>95</v>
      </c>
      <c r="B269" s="7" t="s">
        <v>31</v>
      </c>
      <c r="C269" s="7" t="s">
        <v>17</v>
      </c>
      <c r="D269" s="7" t="s">
        <v>190</v>
      </c>
      <c r="E269" s="7" t="s">
        <v>528</v>
      </c>
      <c r="F269" s="7"/>
    </row>
    <row r="270" customFormat="false" ht="23.85" hidden="false" customHeight="false" outlineLevel="0" collapsed="false">
      <c r="A270" s="7" t="s">
        <v>95</v>
      </c>
      <c r="B270" s="7" t="s">
        <v>31</v>
      </c>
      <c r="C270" s="7" t="s">
        <v>18</v>
      </c>
      <c r="D270" s="7" t="s">
        <v>190</v>
      </c>
      <c r="E270" s="7" t="s">
        <v>529</v>
      </c>
      <c r="F270" s="7"/>
    </row>
    <row r="271" customFormat="false" ht="15" hidden="false" customHeight="false" outlineLevel="0" collapsed="false">
      <c r="A271" s="7" t="s">
        <v>95</v>
      </c>
      <c r="B271" s="7" t="s">
        <v>31</v>
      </c>
      <c r="C271" s="7" t="s">
        <v>19</v>
      </c>
      <c r="D271" s="7" t="s">
        <v>190</v>
      </c>
      <c r="E271" s="7" t="s">
        <v>530</v>
      </c>
      <c r="F271" s="7"/>
    </row>
    <row r="272" customFormat="false" ht="46.25" hidden="false" customHeight="false" outlineLevel="0" collapsed="false">
      <c r="A272" s="7" t="s">
        <v>95</v>
      </c>
      <c r="B272" s="7" t="s">
        <v>31</v>
      </c>
      <c r="C272" s="7" t="s">
        <v>20</v>
      </c>
      <c r="D272" s="7" t="s">
        <v>531</v>
      </c>
      <c r="E272" s="7" t="s">
        <v>532</v>
      </c>
      <c r="F272" s="7" t="s">
        <v>503</v>
      </c>
    </row>
    <row r="273" customFormat="false" ht="23.85" hidden="false" customHeight="false" outlineLevel="0" collapsed="false">
      <c r="A273" s="7" t="s">
        <v>95</v>
      </c>
      <c r="B273" s="7" t="s">
        <v>33</v>
      </c>
      <c r="C273" s="7" t="s">
        <v>16</v>
      </c>
      <c r="D273" s="7" t="s">
        <v>307</v>
      </c>
      <c r="E273" s="7" t="s">
        <v>533</v>
      </c>
      <c r="F273" s="7"/>
    </row>
    <row r="274" customFormat="false" ht="23.85" hidden="false" customHeight="false" outlineLevel="0" collapsed="false">
      <c r="A274" s="7" t="s">
        <v>95</v>
      </c>
      <c r="B274" s="7" t="s">
        <v>33</v>
      </c>
      <c r="C274" s="7" t="s">
        <v>17</v>
      </c>
      <c r="D274" s="7" t="s">
        <v>534</v>
      </c>
      <c r="E274" s="7" t="s">
        <v>535</v>
      </c>
      <c r="F274" s="7"/>
    </row>
    <row r="275" customFormat="false" ht="23.85" hidden="false" customHeight="false" outlineLevel="0" collapsed="false">
      <c r="A275" s="7" t="s">
        <v>95</v>
      </c>
      <c r="B275" s="7" t="s">
        <v>33</v>
      </c>
      <c r="C275" s="7" t="s">
        <v>18</v>
      </c>
      <c r="D275" s="7" t="s">
        <v>307</v>
      </c>
      <c r="E275" s="7" t="s">
        <v>536</v>
      </c>
      <c r="F275" s="7"/>
    </row>
    <row r="276" customFormat="false" ht="23.85" hidden="false" customHeight="false" outlineLevel="0" collapsed="false">
      <c r="A276" s="7" t="s">
        <v>95</v>
      </c>
      <c r="B276" s="7" t="s">
        <v>33</v>
      </c>
      <c r="C276" s="7" t="s">
        <v>19</v>
      </c>
      <c r="D276" s="7" t="s">
        <v>537</v>
      </c>
      <c r="E276" s="7" t="s">
        <v>538</v>
      </c>
      <c r="F276" s="7"/>
    </row>
    <row r="277" customFormat="false" ht="46.25" hidden="false" customHeight="false" outlineLevel="0" collapsed="false">
      <c r="A277" s="7" t="s">
        <v>95</v>
      </c>
      <c r="B277" s="7" t="s">
        <v>33</v>
      </c>
      <c r="C277" s="7" t="s">
        <v>20</v>
      </c>
      <c r="D277" s="7" t="s">
        <v>539</v>
      </c>
      <c r="E277" s="7" t="s">
        <v>540</v>
      </c>
      <c r="F277" s="7" t="s">
        <v>503</v>
      </c>
    </row>
    <row r="278" customFormat="false" ht="23.85" hidden="false" customHeight="false" outlineLevel="0" collapsed="false">
      <c r="A278" s="7" t="s">
        <v>95</v>
      </c>
      <c r="B278" s="7" t="s">
        <v>35</v>
      </c>
      <c r="C278" s="7" t="s">
        <v>16</v>
      </c>
      <c r="D278" s="7" t="s">
        <v>541</v>
      </c>
      <c r="E278" s="7" t="s">
        <v>542</v>
      </c>
      <c r="F278" s="7"/>
    </row>
    <row r="279" customFormat="false" ht="35.05" hidden="false" customHeight="false" outlineLevel="0" collapsed="false">
      <c r="A279" s="7" t="s">
        <v>95</v>
      </c>
      <c r="B279" s="7" t="s">
        <v>35</v>
      </c>
      <c r="C279" s="7" t="s">
        <v>17</v>
      </c>
      <c r="D279" s="7" t="s">
        <v>543</v>
      </c>
      <c r="E279" s="7" t="s">
        <v>544</v>
      </c>
      <c r="F279" s="7"/>
    </row>
    <row r="280" customFormat="false" ht="23.85" hidden="false" customHeight="false" outlineLevel="0" collapsed="false">
      <c r="A280" s="7" t="s">
        <v>95</v>
      </c>
      <c r="B280" s="7" t="s">
        <v>35</v>
      </c>
      <c r="C280" s="7" t="s">
        <v>18</v>
      </c>
      <c r="D280" s="7" t="s">
        <v>313</v>
      </c>
      <c r="E280" s="7" t="s">
        <v>545</v>
      </c>
      <c r="F280" s="7"/>
    </row>
    <row r="281" customFormat="false" ht="23.85" hidden="false" customHeight="false" outlineLevel="0" collapsed="false">
      <c r="A281" s="7" t="s">
        <v>95</v>
      </c>
      <c r="B281" s="7" t="s">
        <v>35</v>
      </c>
      <c r="C281" s="7" t="s">
        <v>19</v>
      </c>
      <c r="D281" s="7" t="s">
        <v>546</v>
      </c>
      <c r="E281" s="7" t="s">
        <v>547</v>
      </c>
      <c r="F281" s="7"/>
    </row>
    <row r="282" customFormat="false" ht="46.25" hidden="false" customHeight="false" outlineLevel="0" collapsed="false">
      <c r="A282" s="7" t="s">
        <v>95</v>
      </c>
      <c r="B282" s="7" t="s">
        <v>35</v>
      </c>
      <c r="C282" s="7" t="s">
        <v>20</v>
      </c>
      <c r="D282" s="7" t="s">
        <v>548</v>
      </c>
      <c r="E282" s="7" t="s">
        <v>549</v>
      </c>
      <c r="F282" s="7" t="s">
        <v>503</v>
      </c>
    </row>
    <row r="283" customFormat="false" ht="23.85" hidden="false" customHeight="false" outlineLevel="0" collapsed="false">
      <c r="A283" s="7" t="s">
        <v>95</v>
      </c>
      <c r="B283" s="7" t="s">
        <v>38</v>
      </c>
      <c r="C283" s="7" t="s">
        <v>16</v>
      </c>
      <c r="D283" s="7" t="s">
        <v>550</v>
      </c>
      <c r="E283" s="7" t="s">
        <v>551</v>
      </c>
      <c r="F283" s="7"/>
    </row>
    <row r="284" customFormat="false" ht="15" hidden="false" customHeight="false" outlineLevel="0" collapsed="false">
      <c r="A284" s="7" t="s">
        <v>95</v>
      </c>
      <c r="B284" s="7" t="s">
        <v>38</v>
      </c>
      <c r="C284" s="7" t="s">
        <v>17</v>
      </c>
      <c r="D284" s="7" t="s">
        <v>552</v>
      </c>
      <c r="E284" s="7" t="s">
        <v>468</v>
      </c>
      <c r="F284" s="7"/>
    </row>
    <row r="285" customFormat="false" ht="23.85" hidden="false" customHeight="false" outlineLevel="0" collapsed="false">
      <c r="A285" s="7" t="s">
        <v>95</v>
      </c>
      <c r="B285" s="7" t="s">
        <v>38</v>
      </c>
      <c r="C285" s="7" t="s">
        <v>18</v>
      </c>
      <c r="D285" s="7" t="s">
        <v>261</v>
      </c>
      <c r="E285" s="7" t="s">
        <v>553</v>
      </c>
      <c r="F285" s="7"/>
    </row>
    <row r="286" customFormat="false" ht="23.85" hidden="false" customHeight="false" outlineLevel="0" collapsed="false">
      <c r="A286" s="7" t="s">
        <v>95</v>
      </c>
      <c r="B286" s="7" t="s">
        <v>38</v>
      </c>
      <c r="C286" s="7" t="s">
        <v>19</v>
      </c>
      <c r="D286" s="7" t="s">
        <v>552</v>
      </c>
      <c r="E286" s="7" t="s">
        <v>554</v>
      </c>
      <c r="F286" s="7"/>
    </row>
    <row r="287" customFormat="false" ht="46.25" hidden="false" customHeight="false" outlineLevel="0" collapsed="false">
      <c r="A287" s="7" t="s">
        <v>95</v>
      </c>
      <c r="B287" s="7" t="s">
        <v>38</v>
      </c>
      <c r="C287" s="7" t="s">
        <v>20</v>
      </c>
      <c r="D287" s="7" t="s">
        <v>555</v>
      </c>
      <c r="E287" s="7" t="s">
        <v>556</v>
      </c>
      <c r="F287" s="7" t="s">
        <v>503</v>
      </c>
    </row>
    <row r="288" customFormat="false" ht="23.85" hidden="false" customHeight="false" outlineLevel="0" collapsed="false">
      <c r="A288" s="7" t="s">
        <v>95</v>
      </c>
      <c r="B288" s="7" t="s">
        <v>40</v>
      </c>
      <c r="C288" s="7" t="s">
        <v>16</v>
      </c>
      <c r="D288" s="7" t="s">
        <v>557</v>
      </c>
      <c r="E288" s="7" t="s">
        <v>558</v>
      </c>
      <c r="F288" s="7"/>
    </row>
    <row r="289" customFormat="false" ht="23.85" hidden="false" customHeight="false" outlineLevel="0" collapsed="false">
      <c r="A289" s="7" t="s">
        <v>95</v>
      </c>
      <c r="B289" s="7" t="s">
        <v>40</v>
      </c>
      <c r="C289" s="7" t="s">
        <v>17</v>
      </c>
      <c r="D289" s="7" t="s">
        <v>559</v>
      </c>
      <c r="E289" s="7" t="s">
        <v>560</v>
      </c>
      <c r="F289" s="7"/>
    </row>
    <row r="290" customFormat="false" ht="23.85" hidden="false" customHeight="false" outlineLevel="0" collapsed="false">
      <c r="A290" s="7" t="s">
        <v>95</v>
      </c>
      <c r="B290" s="7" t="s">
        <v>40</v>
      </c>
      <c r="C290" s="7" t="s">
        <v>18</v>
      </c>
      <c r="D290" s="7" t="s">
        <v>561</v>
      </c>
      <c r="E290" s="7" t="s">
        <v>562</v>
      </c>
      <c r="F290" s="7"/>
    </row>
    <row r="291" customFormat="false" ht="15" hidden="false" customHeight="false" outlineLevel="0" collapsed="false">
      <c r="A291" s="7" t="s">
        <v>95</v>
      </c>
      <c r="B291" s="7" t="s">
        <v>40</v>
      </c>
      <c r="C291" s="7" t="s">
        <v>19</v>
      </c>
      <c r="D291" s="7" t="s">
        <v>561</v>
      </c>
      <c r="E291" s="7" t="s">
        <v>563</v>
      </c>
      <c r="F291" s="7"/>
    </row>
    <row r="292" customFormat="false" ht="46.25" hidden="false" customHeight="false" outlineLevel="0" collapsed="false">
      <c r="A292" s="7" t="s">
        <v>95</v>
      </c>
      <c r="B292" s="7" t="s">
        <v>40</v>
      </c>
      <c r="C292" s="7" t="s">
        <v>20</v>
      </c>
      <c r="D292" s="7" t="s">
        <v>564</v>
      </c>
      <c r="E292" s="7" t="s">
        <v>565</v>
      </c>
      <c r="F292" s="7" t="s">
        <v>503</v>
      </c>
    </row>
    <row r="293" customFormat="false" ht="23.85" hidden="false" customHeight="false" outlineLevel="0" collapsed="false">
      <c r="A293" s="7" t="s">
        <v>95</v>
      </c>
      <c r="B293" s="7" t="s">
        <v>248</v>
      </c>
      <c r="C293" s="7" t="s">
        <v>16</v>
      </c>
      <c r="D293" s="7" t="s">
        <v>557</v>
      </c>
      <c r="E293" s="7" t="s">
        <v>566</v>
      </c>
      <c r="F293" s="7"/>
    </row>
    <row r="294" customFormat="false" ht="23.85" hidden="false" customHeight="false" outlineLevel="0" collapsed="false">
      <c r="A294" s="7" t="s">
        <v>95</v>
      </c>
      <c r="B294" s="7" t="s">
        <v>248</v>
      </c>
      <c r="C294" s="7" t="s">
        <v>17</v>
      </c>
      <c r="D294" s="7" t="s">
        <v>287</v>
      </c>
      <c r="E294" s="7" t="s">
        <v>567</v>
      </c>
      <c r="F294" s="7"/>
    </row>
    <row r="295" customFormat="false" ht="23.85" hidden="false" customHeight="false" outlineLevel="0" collapsed="false">
      <c r="A295" s="7" t="s">
        <v>95</v>
      </c>
      <c r="B295" s="7" t="s">
        <v>248</v>
      </c>
      <c r="C295" s="7" t="s">
        <v>18</v>
      </c>
      <c r="D295" s="7" t="s">
        <v>511</v>
      </c>
      <c r="E295" s="7" t="s">
        <v>568</v>
      </c>
      <c r="F295" s="7"/>
    </row>
    <row r="296" customFormat="false" ht="23.85" hidden="false" customHeight="false" outlineLevel="0" collapsed="false">
      <c r="A296" s="7" t="s">
        <v>95</v>
      </c>
      <c r="B296" s="7" t="s">
        <v>248</v>
      </c>
      <c r="C296" s="7" t="s">
        <v>19</v>
      </c>
      <c r="D296" s="7" t="s">
        <v>511</v>
      </c>
      <c r="E296" s="7" t="s">
        <v>569</v>
      </c>
      <c r="F296" s="7"/>
    </row>
    <row r="297" customFormat="false" ht="46.25" hidden="false" customHeight="false" outlineLevel="0" collapsed="false">
      <c r="A297" s="7" t="s">
        <v>95</v>
      </c>
      <c r="B297" s="7" t="s">
        <v>248</v>
      </c>
      <c r="C297" s="7" t="s">
        <v>20</v>
      </c>
      <c r="D297" s="7" t="s">
        <v>570</v>
      </c>
      <c r="E297" s="7" t="s">
        <v>571</v>
      </c>
      <c r="F297" s="7" t="s">
        <v>503</v>
      </c>
    </row>
    <row r="298" customFormat="false" ht="15" hidden="false" customHeight="false" outlineLevel="0" collapsed="false">
      <c r="A298" s="7" t="s">
        <v>95</v>
      </c>
      <c r="B298" s="7" t="s">
        <v>255</v>
      </c>
      <c r="C298" s="7" t="s">
        <v>16</v>
      </c>
      <c r="D298" s="7" t="s">
        <v>196</v>
      </c>
      <c r="E298" s="7" t="s">
        <v>572</v>
      </c>
      <c r="F298" s="7"/>
    </row>
    <row r="299" customFormat="false" ht="15" hidden="false" customHeight="false" outlineLevel="0" collapsed="false">
      <c r="A299" s="7" t="s">
        <v>95</v>
      </c>
      <c r="B299" s="7" t="s">
        <v>255</v>
      </c>
      <c r="C299" s="7" t="s">
        <v>17</v>
      </c>
      <c r="D299" s="7" t="s">
        <v>196</v>
      </c>
      <c r="E299" s="7" t="s">
        <v>333</v>
      </c>
      <c r="F299" s="7"/>
    </row>
    <row r="300" customFormat="false" ht="15" hidden="false" customHeight="false" outlineLevel="0" collapsed="false">
      <c r="A300" s="7" t="s">
        <v>95</v>
      </c>
      <c r="B300" s="7" t="s">
        <v>255</v>
      </c>
      <c r="C300" s="7" t="s">
        <v>18</v>
      </c>
      <c r="D300" s="7" t="s">
        <v>196</v>
      </c>
      <c r="E300" s="7" t="s">
        <v>573</v>
      </c>
      <c r="F300" s="7"/>
    </row>
    <row r="301" customFormat="false" ht="15" hidden="false" customHeight="false" outlineLevel="0" collapsed="false">
      <c r="A301" s="7" t="s">
        <v>95</v>
      </c>
      <c r="B301" s="7" t="s">
        <v>255</v>
      </c>
      <c r="C301" s="7" t="s">
        <v>19</v>
      </c>
      <c r="D301" s="7" t="s">
        <v>196</v>
      </c>
      <c r="E301" s="7" t="s">
        <v>333</v>
      </c>
      <c r="F301" s="7"/>
    </row>
    <row r="302" customFormat="false" ht="46.25" hidden="false" customHeight="false" outlineLevel="0" collapsed="false">
      <c r="A302" s="7" t="s">
        <v>95</v>
      </c>
      <c r="B302" s="7" t="s">
        <v>255</v>
      </c>
      <c r="C302" s="7" t="s">
        <v>20</v>
      </c>
      <c r="D302" s="7" t="s">
        <v>574</v>
      </c>
      <c r="E302" s="7" t="s">
        <v>575</v>
      </c>
      <c r="F302" s="7" t="s">
        <v>503</v>
      </c>
    </row>
    <row r="303" customFormat="false" ht="23.85" hidden="false" customHeight="false" outlineLevel="0" collapsed="false">
      <c r="A303" s="7" t="s">
        <v>95</v>
      </c>
      <c r="B303" s="7" t="s">
        <v>260</v>
      </c>
      <c r="C303" s="7" t="s">
        <v>16</v>
      </c>
      <c r="D303" s="7" t="s">
        <v>261</v>
      </c>
      <c r="E303" s="7" t="s">
        <v>576</v>
      </c>
      <c r="F303" s="7"/>
    </row>
    <row r="304" customFormat="false" ht="15" hidden="false" customHeight="false" outlineLevel="0" collapsed="false">
      <c r="A304" s="7" t="s">
        <v>95</v>
      </c>
      <c r="B304" s="7" t="s">
        <v>260</v>
      </c>
      <c r="C304" s="7" t="s">
        <v>17</v>
      </c>
      <c r="D304" s="7" t="s">
        <v>261</v>
      </c>
      <c r="E304" s="7" t="s">
        <v>577</v>
      </c>
      <c r="F304" s="7"/>
    </row>
    <row r="305" customFormat="false" ht="15" hidden="false" customHeight="false" outlineLevel="0" collapsed="false">
      <c r="A305" s="7" t="s">
        <v>95</v>
      </c>
      <c r="B305" s="7" t="s">
        <v>260</v>
      </c>
      <c r="C305" s="7" t="s">
        <v>18</v>
      </c>
      <c r="D305" s="7" t="s">
        <v>261</v>
      </c>
      <c r="E305" s="7" t="s">
        <v>578</v>
      </c>
      <c r="F305" s="7"/>
    </row>
    <row r="306" customFormat="false" ht="15" hidden="false" customHeight="false" outlineLevel="0" collapsed="false">
      <c r="A306" s="7" t="s">
        <v>95</v>
      </c>
      <c r="B306" s="7" t="s">
        <v>260</v>
      </c>
      <c r="C306" s="7" t="s">
        <v>19</v>
      </c>
      <c r="D306" s="7" t="s">
        <v>261</v>
      </c>
      <c r="E306" s="7" t="s">
        <v>579</v>
      </c>
      <c r="F306" s="7"/>
    </row>
    <row r="307" customFormat="false" ht="15" hidden="false" customHeight="false" outlineLevel="0" collapsed="false">
      <c r="A307" s="7" t="s">
        <v>95</v>
      </c>
      <c r="B307" s="7" t="s">
        <v>267</v>
      </c>
      <c r="C307" s="7" t="s">
        <v>17</v>
      </c>
      <c r="D307" s="7" t="s">
        <v>268</v>
      </c>
      <c r="E307" s="7" t="s">
        <v>580</v>
      </c>
      <c r="F307" s="7"/>
    </row>
    <row r="308" customFormat="false" ht="15" hidden="false" customHeight="false" outlineLevel="0" collapsed="false">
      <c r="A308" s="7" t="s">
        <v>95</v>
      </c>
      <c r="B308" s="7" t="s">
        <v>267</v>
      </c>
      <c r="C308" s="7" t="s">
        <v>18</v>
      </c>
      <c r="D308" s="7" t="s">
        <v>268</v>
      </c>
      <c r="E308" s="7" t="s">
        <v>581</v>
      </c>
      <c r="F308" s="7"/>
    </row>
    <row r="309" customFormat="false" ht="15" hidden="false" customHeight="false" outlineLevel="0" collapsed="false">
      <c r="A309" s="7" t="s">
        <v>95</v>
      </c>
      <c r="B309" s="7" t="s">
        <v>267</v>
      </c>
      <c r="C309" s="7" t="s">
        <v>19</v>
      </c>
      <c r="D309" s="7" t="s">
        <v>268</v>
      </c>
      <c r="E309" s="7" t="s">
        <v>491</v>
      </c>
      <c r="F309" s="7"/>
    </row>
  </sheetData>
  <autoFilter ref="A3:F309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2026-10-13T20:11:04Z</dcterms:created>
  <dc:creator>openpyxl</dc:creator>
  <dc:description/>
  <dc:language>en-US</dc:language>
  <cp:lastModifiedBy/>
  <dcterms:modified xsi:type="dcterms:W3CDTF">2026-10-13T20:11:04Z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